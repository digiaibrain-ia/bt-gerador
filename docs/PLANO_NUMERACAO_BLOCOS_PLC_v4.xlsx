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gras" sheetId="1" state="visible" r:id="rId3"/>
    <sheet name="Blocos_novos" sheetId="2" state="visible" r:id="rId4"/>
    <sheet name="Faixas" sheetId="3" state="visible" r:id="rId5"/>
    <sheet name="BT_gabarito" sheetId="4" state="visible" r:id="rId6"/>
    <sheet name="Bancos" sheetId="5" state="visible" r:id="rId7"/>
    <sheet name="Cards_popups" sheetId="6" state="visible" r:id="rId8"/>
    <sheet name="Migracao" sheetId="7" state="visible" r:id="rId9"/>
    <sheet name="CPU_1214FC" sheetId="8" state="visible" r:id="rId10"/>
    <sheet name="Pendencia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<sst xmlns="http://schemas.openxmlformats.org/spreadsheetml/2006/main" count="592" uniqueCount="350">
  <si>
    <t xml:space="preserve">Plano de numeração de blocos - PLC dos Bancos de Carga (CPU alvo: S7-1200F 1214FC; hoje 1515 provisória)</t>
  </si>
  <si>
    <t xml:space="preserve">Proposta v2 - 20/10/2026 - aprovada nos itens 1-5; nenhuma renumeração executada (tudo congelado até depois do teste de quinta/sexta).</t>
  </si>
  <si>
    <t xml:space="preserve">PARÂMETROS (células azuis = editáveis; todo o resto do arquivo recalcula)</t>
  </si>
  <si>
    <t xml:space="preserve">Base BT2 (DB)</t>
  </si>
  <si>
    <t xml:space="preserve">confirmado (regra 19/10)</t>
  </si>
  <si>
    <t xml:space="preserve">Base BT1 (DB)</t>
  </si>
  <si>
    <t xml:space="preserve">Base do 1º banco (DB)</t>
  </si>
  <si>
    <t xml:space="preserve">proposto</t>
  </si>
  <si>
    <t xml:space="preserve">Tamanho da faixa de cada banco (DBs)</t>
  </si>
  <si>
    <t xml:space="preserve">Offset da instância de FB dentro do card BT (DB)</t>
  </si>
  <si>
    <t xml:space="preserve">proposto (regra 19/10: 60-69 = instâncias)</t>
  </si>
  <si>
    <t xml:space="preserve">Base FB/FC lógica dos cards do BT</t>
  </si>
  <si>
    <t xml:space="preserve">Base FB/FC lógica do banco</t>
  </si>
  <si>
    <t xml:space="preserve">FÓRMULAS (a "lógica matemática")</t>
  </si>
  <si>
    <t xml:space="preserve">DB de dados do card (BT)</t>
  </si>
  <si>
    <t xml:space="preserve">Base_BT + offset_card</t>
  </si>
  <si>
    <t xml:space="preserve">ex.: DSE offset 2 -&gt; BT2 = 52 / BT1 = 102</t>
  </si>
  <si>
    <t xml:space="preserve">FB do card (BT)</t>
  </si>
  <si>
    <t xml:space="preserve">Base_FB_BT + offset_card</t>
  </si>
  <si>
    <t xml:space="preserve">mesmo offset do DB do card; ex.: Etapas offset 6 -&gt; FB56</t>
  </si>
  <si>
    <t xml:space="preserve">DB de instância do FB do card (BT)</t>
  </si>
  <si>
    <t xml:space="preserve">Base_BT + Offset_inst + offset_card</t>
  </si>
  <si>
    <t xml:space="preserve">ex.: Etapas -&gt; BT2 = 66 / BT1 = 116</t>
  </si>
  <si>
    <t xml:space="preserve">Base do banco k (k=1..6)</t>
  </si>
  <si>
    <t xml:space="preserve">Base_1º_banco + Tamanho_faixa x (k-1)</t>
  </si>
  <si>
    <t xml:space="preserve">BC56 k=1 -&gt; 150; BC400 k=2 -&gt; 158; k=3..6 reserva</t>
  </si>
  <si>
    <t xml:space="preserve">DB de dados do banco</t>
  </si>
  <si>
    <t xml:space="preserve">Base_banco + offset (0 = chaves)</t>
  </si>
  <si>
    <t xml:space="preserve">BC56 = 150; BC400 = 158</t>
  </si>
  <si>
    <t xml:space="preserve">FB da lógica do banco (função f)</t>
  </si>
  <si>
    <t xml:space="preserve">Base_FB_banco + f</t>
  </si>
  <si>
    <t xml:space="preserve">f=0 setupChaves -&gt; FB100</t>
  </si>
  <si>
    <t xml:space="preserve">DB de instância do FB do banco</t>
  </si>
  <si>
    <t xml:space="preserve">Base_banco + 4 + f</t>
  </si>
  <si>
    <t xml:space="preserve">BC56 setupChaves = 154; BC400 = 162</t>
  </si>
  <si>
    <t xml:space="preserve">PRINCÍPIOS</t>
  </si>
  <si>
    <t xml:space="preserve">1. Dado (DB de card, acessado pelo Node-RED, S7_Optimized_Access FALSE) separado de lógica (FB/FC) e de instância (DB otimizado).</t>
  </si>
  <si>
    <t xml:space="preserve">2. Lógica escrita uma vez, instanciada por escopo (BT1/BT2/banco). Nunca copiar FB.</t>
  </si>
  <si>
    <t xml:space="preserve">3. Mesmo gabarito em todo escopo: BT1 = BT2 + 50 (mesmo offset); todos os bancos têm o mesmo gabarito interno.</t>
  </si>
  <si>
    <t xml:space="preserve">4. DB do banco de carga não pertence ao BT (banco serve BT1 ou BT2); quem associa banco-&gt;BT é o Node-RED.</t>
  </si>
  <si>
    <t xml:space="preserve">5. Nome simbólico com 3 dígitos (db052_...). Padrão: prefixo+número+_+descrição; FB: fb[nº]_[NomePascalCase]; ASCII.</t>
  </si>
  <si>
    <t xml:space="preserve">6. Reserva em toda faixa. Faixa DB 200+ e FB/FC 200+ seguem livres para criação sob demanda.</t>
  </si>
  <si>
    <t xml:space="preserve">7. Node-RED: UM endpoint S7 por PC (1214 tem 14 conexões S7, 8 reservadas); IP .156 (PC BT2) e .135 (PLC) em config, não em function nodes.</t>
  </si>
  <si>
    <t xml:space="preserve">LEGENDA DE CORES (abas seguintes)</t>
  </si>
  <si>
    <t xml:space="preserve">Confirmado / já existe</t>
  </si>
  <si>
    <t xml:space="preserve">Proposto</t>
  </si>
  <si>
    <t xml:space="preserve">Reserva</t>
  </si>
  <si>
    <t xml:space="preserve">Blocos novos - registro vivo (um bloco por linha; atualizar aqui sempre que criar ou aprovar um bloco)</t>
  </si>
  <si>
    <t xml:space="preserve">v3 - 22/10/2026. Os números e nomes saem das fórmulas das abas Regras e Bancos (não digite o número: mude o parâmetro lá). Células em azul = texto digitado por você/por mim; o resto recalcula.</t>
  </si>
  <si>
    <t xml:space="preserve">Como usar: (1) copie uma linha; (2) escolha CPU/Tipo/Escopo; (3) cole a fórmula do número (ex.: =Regras!$B$5+8) e do nome; (4) Situação: existe / aprovado - a criar / proposto / a definir / reserva; (5) a coluna Conflito acusa número repetido na mesma CPU e tipo.</t>
  </si>
  <si>
    <t xml:space="preserve">Regra 22/10: cada card tem o seu DB e o seu flow no Node-RED; o nome da aba do flow identifica o card (coluna "Flow Node-RED"). Cores da coluna Situação: verde = existe; amarelo = aprovado/proposto; cinza = a definir/reserva.</t>
  </si>
  <si>
    <t xml:space="preserve">Nº</t>
  </si>
  <si>
    <t xml:space="preserve">CPU</t>
  </si>
  <si>
    <t xml:space="preserve">Tipo</t>
  </si>
  <si>
    <t xml:space="preserve">Escopo</t>
  </si>
  <si>
    <t xml:space="preserve">Nº do bloco</t>
  </si>
  <si>
    <t xml:space="preserve">Nome simbólico</t>
  </si>
  <si>
    <t xml:space="preserve">Função</t>
  </si>
  <si>
    <t xml:space="preserve">Acesso</t>
  </si>
  <si>
    <t xml:space="preserve">Instância de / usa</t>
  </si>
  <si>
    <t xml:space="preserve">Escreve → Lê</t>
  </si>
  <si>
    <t xml:space="preserve">Card (tela)</t>
  </si>
  <si>
    <t xml:space="preserve">Flow Node-RED (aba)</t>
  </si>
  <si>
    <t xml:space="preserve">Situação</t>
  </si>
  <si>
    <t xml:space="preserve">Criado no TIA?</t>
  </si>
  <si>
    <t xml:space="preserve">Decisão / data</t>
  </si>
  <si>
    <t xml:space="preserve">Observação</t>
  </si>
  <si>
    <t xml:space="preserve">Conflito?</t>
  </si>
  <si>
    <t xml:space="preserve">PLC dos bancos</t>
  </si>
  <si>
    <t xml:space="preserve">DB</t>
  </si>
  <si>
    <t xml:space="preserve">BT2</t>
  </si>
  <si>
    <t xml:space="preserve">Grandezas do DSE (leitura)</t>
  </si>
  <si>
    <t xml:space="preserve">Padrão (não otimizado)</t>
  </si>
  <si>
    <t xml:space="preserve">-</t>
  </si>
  <si>
    <t xml:space="preserve">DSE → Node-RED → HTML (via DB)</t>
  </si>
  <si>
    <t xml:space="preserve">Leitura das grandezas</t>
  </si>
  <si>
    <t xml:space="preserve">(flow do DSE - fora deste plano)</t>
  </si>
  <si>
    <t xml:space="preserve">existe</t>
  </si>
  <si>
    <t xml:space="preserve">Sim</t>
  </si>
  <si>
    <t xml:space="preserve">Confirmado 20/10</t>
  </si>
  <si>
    <t xml:space="preserve">Hoje se chama db52_BancoTeste2_DSE; renomear só depois do teste a quente.</t>
  </si>
  <si>
    <t xml:space="preserve">Registro do ensaio manual (SNAP MANUAL) + preenchimento SAP</t>
  </si>
  <si>
    <t xml:space="preserve">HTML → Node-RED → PLC; PLC → Node-RED → HTML</t>
  </si>
  <si>
    <t xml:space="preserve">Registro do ensaio / Dados do ensaio</t>
  </si>
  <si>
    <t xml:space="preserve">Registro do Ensaio DB53 (API)</t>
  </si>
  <si>
    <t xml:space="preserve">Rotas /api/ensaio/* (flow registro v1.4, 22/10).</t>
  </si>
  <si>
    <t xml:space="preserve">Parâmetros: faixas, faixa de água</t>
  </si>
  <si>
    <t xml:space="preserve">a definir</t>
  </si>
  <si>
    <t xml:space="preserve">Leitura das grandezas (Faixas)</t>
  </si>
  <si>
    <t xml:space="preserve">(a criar)</t>
  </si>
  <si>
    <t xml:space="preserve">Não</t>
  </si>
  <si>
    <t xml:space="preserve">Citado pelo usuário</t>
  </si>
  <si>
    <t xml:space="preserve">Estrutura a definir.</t>
  </si>
  <si>
    <t xml:space="preserve">BC56</t>
  </si>
  <si>
    <t xml:space="preserve">Chaves do BC56: cb.ligar / sb.ligada / setup</t>
  </si>
  <si>
    <t xml:space="preserve">Cargas · banco de carga (BC56)</t>
  </si>
  <si>
    <t xml:space="preserve">Chaves BC56 (API) v2.2</t>
  </si>
  <si>
    <t xml:space="preserve">Layout: cb.ligar X0.0-1.7, sb.ligada X2.0-3.7.</t>
  </si>
  <si>
    <t xml:space="preserve">BC400</t>
  </si>
  <si>
    <t xml:space="preserve">Chaves do BC400</t>
  </si>
  <si>
    <t xml:space="preserve">Cargas · banco de carga (BC400)</t>
  </si>
  <si>
    <t xml:space="preserve">Chaves BC400 (API) v2.2</t>
  </si>
  <si>
    <t xml:space="preserve">Mesmo gabarito do BC56.</t>
  </si>
  <si>
    <t xml:space="preserve">FB</t>
  </si>
  <si>
    <t xml:space="preserve">banco (f=0)</t>
  </si>
  <si>
    <t xml:space="preserve">fb100_setupChaves</t>
  </si>
  <si>
    <t xml:space="preserve">Lógica do setup das chaves (fb100_setupChaves v0.2)</t>
  </si>
  <si>
    <t xml:space="preserve">Otimizado</t>
  </si>
  <si>
    <t xml:space="preserve">Cargas · Setup</t>
  </si>
  <si>
    <t xml:space="preserve">Substituiu o antigo FB200.</t>
  </si>
  <si>
    <t xml:space="preserve">BC56 (inst. f=0)</t>
  </si>
  <si>
    <t xml:space="preserve">Instância do FB100 para o BC56</t>
  </si>
  <si>
    <t xml:space="preserve">FB100</t>
  </si>
  <si>
    <t xml:space="preserve">BC400 (inst. f=0)</t>
  </si>
  <si>
    <t xml:space="preserve">Instância do FB100 para o BC400</t>
  </si>
  <si>
    <t xml:space="preserve">FC</t>
  </si>
  <si>
    <t xml:space="preserve">fc100_cardBancoCargas_BT2</t>
  </si>
  <si>
    <t xml:space="preserve">Card banco de cargas - loopback sb.ligada (bancada)</t>
  </si>
  <si>
    <t xml:space="preserve">Escreve sb.ligada (some quando o FB101 entrar)</t>
  </si>
  <si>
    <t xml:space="preserve">Cargas · banco de carga</t>
  </si>
  <si>
    <t xml:space="preserve">Informado pelo usuário (aba Migracao)</t>
  </si>
  <si>
    <t xml:space="preserve">DESATIVAR o loopback ao ligar o FB101 (dois escritores no mesmo bit).</t>
  </si>
  <si>
    <t xml:space="preserve">banco (f=1)</t>
  </si>
  <si>
    <t xml:space="preserve">Troca de sinais 1515 ⇄ ET200 por S7 PUT/GET (comando + vida; feedback + vida)</t>
  </si>
  <si>
    <t xml:space="preserve">PUT / GET</t>
  </si>
  <si>
    <t xml:space="preserve">1515 → ET200 (cmd); ET200 → 1515 (fb)</t>
  </si>
  <si>
    <t xml:space="preserve">aprovado - a criar</t>
  </si>
  <si>
    <t xml:space="preserve">Aprovado 22/10 (usuário)</t>
  </si>
  <si>
    <t xml:space="preserve">Nome sugerido; o código SCL está em claude/PASSO_A_PASSO_PUT_GET_1515_ET200_v3.md (não compilado).</t>
  </si>
  <si>
    <t xml:space="preserve">BC56 (inst. f=1)</t>
  </si>
  <si>
    <t xml:space="preserve">Instância do FB101 para o BC56 (também é a área tx/rx)</t>
  </si>
  <si>
    <t xml:space="preserve">FB101</t>
  </si>
  <si>
    <t xml:space="preserve">Fórmula: Base_banco + 4 + f.</t>
  </si>
  <si>
    <t xml:space="preserve">BC400 (inst. f=1)</t>
  </si>
  <si>
    <t xml:space="preserve">Instância do FB101 para o BC400</t>
  </si>
  <si>
    <t xml:space="preserve">Só depois do BC56 validado.</t>
  </si>
  <si>
    <t xml:space="preserve">banco (f=2)</t>
  </si>
  <si>
    <t xml:space="preserve">Zera cb.ligar do banco se o pulso do Node-RED parar (watchdog de comandos)</t>
  </si>
  <si>
    <t xml:space="preserve">Node-RED → PLC (cb.hbNodeRed do DB58)</t>
  </si>
  <si>
    <t xml:space="preserve">Proposto 22/10 noite (aguarda D2/D3)</t>
  </si>
  <si>
    <t xml:space="preserve">Habilita=FALSE até existir o pulso do Node-RED no DB58. Ordem no OB: fb100 → fb102 → fb101. SCL em claude/PROTECAO_COMANDOS_PERSISTENTES_CB.md (não compilado).</t>
  </si>
  <si>
    <t xml:space="preserve">BC56 (inst. f=2)</t>
  </si>
  <si>
    <t xml:space="preserve">Instância do FB102 para o BC56</t>
  </si>
  <si>
    <t xml:space="preserve">FB102</t>
  </si>
  <si>
    <t xml:space="preserve">Proposto 22/10 noite (aguarda D2)</t>
  </si>
  <si>
    <t xml:space="preserve">BC400 (inst. f=2)</t>
  </si>
  <si>
    <t xml:space="preserve">Instância do FB102 para o BC400</t>
  </si>
  <si>
    <t xml:space="preserve">Batimento (heartbeat) PLC / Node-RED / HTML do card Modo - só sinaliza</t>
  </si>
  <si>
    <t xml:space="preserve">PLC → Node-RED (sb.hbPlc, nodeRedOk, htmlOk); Node-RED → PLC (cb.hbNodeRed, hbHtml)</t>
  </si>
  <si>
    <t xml:space="preserve">Modo</t>
  </si>
  <si>
    <t xml:space="preserve">Modo (API) - a criar depois do DB existir</t>
  </si>
  <si>
    <t xml:space="preserve">Layout em claude/ESPECIFICACAO_DB58_MODO_HEARTBEAT.md v0.2. Perda de Node-RED/HTML só sinaliza (decisão 22/10; ação do PLC fica para o futuro).</t>
  </si>
  <si>
    <t xml:space="preserve">Lógica do heartbeat (opcional - o usuário faz a lógica)</t>
  </si>
  <si>
    <t xml:space="preserve">Esqueleto na especificação</t>
  </si>
  <si>
    <t xml:space="preserve">Opcional.</t>
  </si>
  <si>
    <t xml:space="preserve">BT2 (inst.)</t>
  </si>
  <si>
    <t xml:space="preserve">Instância do FB58</t>
  </si>
  <si>
    <t xml:space="preserve">FB58</t>
  </si>
  <si>
    <t xml:space="preserve">Só se o FB58 for usado.</t>
  </si>
  <si>
    <t xml:space="preserve">BC56 (status +1)</t>
  </si>
  <si>
    <t xml:space="preserve">Status do banco (ex.: ComOk PLC⇄ET200) para o Node-RED</t>
  </si>
  <si>
    <t xml:space="preserve">PLC → Node-RED</t>
  </si>
  <si>
    <t xml:space="preserve">Pendente</t>
  </si>
  <si>
    <t xml:space="preserve">Quando existir, o flow chaves vai para v2.3 (sem mudar rotas).</t>
  </si>
  <si>
    <t xml:space="preserve">BC400 (status +1)</t>
  </si>
  <si>
    <t xml:space="preserve">Status do banco BC400</t>
  </si>
  <si>
    <t xml:space="preserve">ET200 (Gerador_BC015)</t>
  </si>
  <si>
    <t xml:space="preserve">ComBC56</t>
  </si>
  <si>
    <t xml:space="preserve">Área de troca PUT/GET do BC56 no ET200 (cmd, vida1515, fb, vidaET)</t>
  </si>
  <si>
    <t xml:space="preserve">Padrão</t>
  </si>
  <si>
    <t xml:space="preserve">1515 (PUT/GET) ⇄ lógica do ET200</t>
  </si>
  <si>
    <t xml:space="preserve">Número assumido (herdado da v1)</t>
  </si>
  <si>
    <t xml:space="preserve">DB do programa do ET200 (não é o DB10 "seletor comum" do plano do 1515). Confirmar se DB10 está livre no Gerador_BC015.</t>
  </si>
  <si>
    <t xml:space="preserve">ComBC400</t>
  </si>
  <si>
    <t xml:space="preserve">Área de troca PUT/GET do BC400 no ET200</t>
  </si>
  <si>
    <t xml:space="preserve">Número proposto</t>
  </si>
  <si>
    <t xml:space="preserve">Confirmar se DB11 está livre no Gerador_BC015.</t>
  </si>
  <si>
    <t xml:space="preserve">Resumo por situação</t>
  </si>
  <si>
    <t xml:space="preserve">reserva</t>
  </si>
  <si>
    <t xml:space="preserve">De</t>
  </si>
  <si>
    <t xml:space="preserve">Até</t>
  </si>
  <si>
    <t xml:space="preserve">1</t>
  </si>
  <si>
    <t xml:space="preserve">49</t>
  </si>
  <si>
    <t xml:space="preserve">COMUM (todos)</t>
  </si>
  <si>
    <t xml:space="preserve">seletor manual/auto, config, diagnóstico</t>
  </si>
  <si>
    <t xml:space="preserve">+0..+9 dados dos cards; +10..+19 instâncias; +20..+49 reserva</t>
  </si>
  <si>
    <t xml:space="preserve">BT1</t>
  </si>
  <si>
    <t xml:space="preserve">mesmo gabarito do BT2</t>
  </si>
  <si>
    <t xml:space="preserve">BANCOS DE CARGA (6 posições)</t>
  </si>
  <si>
    <t xml:space="preserve">BC56, BC400 + 4 reservas</t>
  </si>
  <si>
    <t xml:space="preserve">199</t>
  </si>
  <si>
    <t xml:space="preserve">200</t>
  </si>
  <si>
    <t xml:space="preserve">65535</t>
  </si>
  <si>
    <t xml:space="preserve">livre (criação sob demanda)</t>
  </si>
  <si>
    <t xml:space="preserve">nada definitivo; limite do datasheet 1214FC = 65535</t>
  </si>
  <si>
    <t xml:space="preserve">FB/FC</t>
  </si>
  <si>
    <t xml:space="preserve">comum</t>
  </si>
  <si>
    <t xml:space="preserve">utilidades, mapeamento de I/O, diagnóstico</t>
  </si>
  <si>
    <t xml:space="preserve">lógica dos cards do BT</t>
  </si>
  <si>
    <t xml:space="preserve">1 FB, 2 instâncias (BT1/BT2)</t>
  </si>
  <si>
    <t xml:space="preserve">149</t>
  </si>
  <si>
    <t xml:space="preserve">lógica do banco de carga</t>
  </si>
  <si>
    <t xml:space="preserve">1 FB, 1 instância por banco</t>
  </si>
  <si>
    <t xml:space="preserve">150</t>
  </si>
  <si>
    <t xml:space="preserve">livre</t>
  </si>
  <si>
    <t xml:space="preserve">OB</t>
  </si>
  <si>
    <t xml:space="preserve">Main</t>
  </si>
  <si>
    <t xml:space="preserve">só chama FCs de área</t>
  </si>
  <si>
    <t xml:space="preserve">100</t>
  </si>
  <si>
    <t xml:space="preserve">Startup</t>
  </si>
  <si>
    <t xml:space="preserve">30</t>
  </si>
  <si>
    <t xml:space="preserve">38</t>
  </si>
  <si>
    <t xml:space="preserve">cíclicos</t>
  </si>
  <si>
    <t xml:space="preserve">reserva - só se necessário (OB limitado só pela RAM)</t>
  </si>
  <si>
    <t xml:space="preserve">Offset</t>
  </si>
  <si>
    <t xml:space="preserve">Conteúdo (card / popup)</t>
  </si>
  <si>
    <t xml:space="preserve">Status</t>
  </si>
  <si>
    <t xml:space="preserve">DB BT2</t>
  </si>
  <si>
    <t xml:space="preserve">Nome BT2</t>
  </si>
  <si>
    <t xml:space="preserve">FB do card BT2</t>
  </si>
  <si>
    <t xml:space="preserve">DB instância BT2</t>
  </si>
  <si>
    <t xml:space="preserve">DB BT1</t>
  </si>
  <si>
    <t xml:space="preserve">Nome BT1</t>
  </si>
  <si>
    <t xml:space="preserve">FB do card BT1</t>
  </si>
  <si>
    <t xml:space="preserve">DB instância BT1</t>
  </si>
  <si>
    <t xml:space="preserve">res</t>
  </si>
  <si>
    <t xml:space="preserve">DSE (SB_DSE) - Grandezas, Motor</t>
  </si>
  <si>
    <t xml:space="preserve">existe: DB52 db52_BancoTeste2_DSE (DB52 real)</t>
  </si>
  <si>
    <t xml:space="preserve">conf</t>
  </si>
  <si>
    <t xml:space="preserve">Registro / SNAP MANUAL - Registro do ensaio, Resultado</t>
  </si>
  <si>
    <t xml:space="preserve">existe: DB53 SNAP MANUAL</t>
  </si>
  <si>
    <t xml:space="preserve">Parâmetros - Faixas, faixa de água</t>
  </si>
  <si>
    <t xml:space="preserve">DB54 (citado pelo usuário); estrutura a definir</t>
  </si>
  <si>
    <t xml:space="preserve">prop</t>
  </si>
  <si>
    <t xml:space="preserve">reserva (antigo DB55 Chaves foi para o banco)</t>
  </si>
  <si>
    <t xml:space="preserve">Etapas do ensaio (estado, cronômetro, comandos)</t>
  </si>
  <si>
    <t xml:space="preserve">a desenvolver</t>
  </si>
  <si>
    <t xml:space="preserve">Dados do ensaio (SAP; "ensaio em andamento")</t>
  </si>
  <si>
    <t xml:space="preserve">a desenvolver (hoje preenchimento está no DB53)</t>
  </si>
  <si>
    <t xml:space="preserve">Modo (tipo, salvamento, gráfico, Node-RED manual/auto)</t>
  </si>
  <si>
    <t xml:space="preserve">+10..+19: instâncias de FB (otimizado) | +20..+49: reserva do BT. FB do card só existe se o card tiver lógica (reservado mesmo se não usado).</t>
  </si>
  <si>
    <t xml:space="preserve">Banco</t>
  </si>
  <si>
    <t xml:space="preserve">Potência</t>
  </si>
  <si>
    <t xml:space="preserve">k (posição)</t>
  </si>
  <si>
    <t xml:space="preserve">Base</t>
  </si>
  <si>
    <t xml:space="preserve">DB Chaves (+0 cb/sb/setup)</t>
  </si>
  <si>
    <t xml:space="preserve">DB status banco (+1) a definir</t>
  </si>
  <si>
    <t xml:space="preserve">DB instância FB100 setupChaves (+4)</t>
  </si>
  <si>
    <t xml:space="preserve">Nome DB Chaves</t>
  </si>
  <si>
    <t xml:space="preserve">Nome instância</t>
  </si>
  <si>
    <t xml:space="preserve">Hoje</t>
  </si>
  <si>
    <t xml:space="preserve">56 kW</t>
  </si>
  <si>
    <t xml:space="preserve">DB55 (56+400 juntos) / DB200 (56 kW) ou DB201 (400 kW)</t>
  </si>
  <si>
    <t xml:space="preserve">400 kW</t>
  </si>
  <si>
    <t xml:space="preserve">DB55 / DB201</t>
  </si>
  <si>
    <t xml:space="preserve">reserva A</t>
  </si>
  <si>
    <t xml:space="preserve">reserva B</t>
  </si>
  <si>
    <t xml:space="preserve">reserva C</t>
  </si>
  <si>
    <t xml:space="preserve">reserva D</t>
  </si>
  <si>
    <t xml:space="preserve">Gabarito interno: +0 Chaves (card Cargas + popup Chaves) | +1 status/medição do banco | +2,+3 reserva | +4..+7 instâncias (f=0 setupChaves; f=1..3 futuras).</t>
  </si>
  <si>
    <t xml:space="preserve">Hoje o DB55 guarda os 2 bancos (sufixos 56/400). No gabarito novo cada banco tem seu DB de chaves, arrays sem sufixo (muda a estrutura do DB55 - só após a janela de teste).</t>
  </si>
  <si>
    <t xml:space="preserve">Nomes usam BC56/BC400 (decisão do usuário 20/10); posições k=3..6 reservadas, sem nome até existirem.</t>
  </si>
  <si>
    <t xml:space="preserve">Sub-módulos</t>
  </si>
  <si>
    <t xml:space="preserve">Popups (medidor_gerador_v1.9.38.html)</t>
  </si>
  <si>
    <t xml:space="preserve">PLC (proposto)</t>
  </si>
  <si>
    <t xml:space="preserve">Modo (novo v1.9.38)</t>
  </si>
  <si>
    <t xml:space="preserve">fonte REAL/DEMO, tipo, salvamento, Node-RED, gráfico</t>
  </si>
  <si>
    <t xml:space="preserve">dlgModo</t>
  </si>
  <si>
    <t xml:space="preserve">BT +8 (fonte REAL/DEMO é só da tela)</t>
  </si>
  <si>
    <t xml:space="preserve">Etapas do ensaio</t>
  </si>
  <si>
    <t xml:space="preserve">cronômetro; INICIAR/PAUSAR/ZERAR/FINALIZAR; barras de etapa; lâmpada</t>
  </si>
  <si>
    <t xml:space="preserve">dlgDados (Dados do ensaio), dlgEtapa, dlgFim, dlgResalva</t>
  </si>
  <si>
    <t xml:space="preserve">BT +6 e +7</t>
  </si>
  <si>
    <t xml:space="preserve">Gráfico</t>
  </si>
  <si>
    <t xml:space="preserve">carga x tempo; exportar PNG/CSV/PDF</t>
  </si>
  <si>
    <t xml:space="preserve">nenhum (só tela)</t>
  </si>
  <si>
    <t xml:space="preserve">carga, tensão, corrente, geral (kW, água, rpm, bateria); Gerar PDF (v1.9.38)</t>
  </si>
  <si>
    <t xml:space="preserve">dlgGrand, dlgMotor, dlgParam (Faixas), dlgAgua</t>
  </si>
  <si>
    <t xml:space="preserve">BT +2 (DSE) e +4 (parâmetros)</t>
  </si>
  <si>
    <t xml:space="preserve">Simulação (só Demo)</t>
  </si>
  <si>
    <t xml:space="preserve">operador, slider, velocidade</t>
  </si>
  <si>
    <t xml:space="preserve">nenhum</t>
  </si>
  <si>
    <t xml:space="preserve">Cargas · banco</t>
  </si>
  <si>
    <t xml:space="preserve">chaves; aplicado/DSE/diferença</t>
  </si>
  <si>
    <t xml:space="preserve">dlgChaves</t>
  </si>
  <si>
    <t xml:space="preserve">banco +0 (e +1)</t>
  </si>
  <si>
    <t xml:space="preserve">Registro do ensaio</t>
  </si>
  <si>
    <t xml:space="preserve">tabela por etapa; strip do ensaio</t>
  </si>
  <si>
    <t xml:space="preserve">dlgRes (Resultado), dlgVer</t>
  </si>
  <si>
    <t xml:space="preserve">BT +3</t>
  </si>
  <si>
    <t xml:space="preserve">Barra superior</t>
  </si>
  <si>
    <t xml:space="preserve">Dados, Amostras, Servidor, Demo, versão</t>
  </si>
  <si>
    <t xml:space="preserve">dlgDados, dlgReg (Amostras), dlgSrv, dlgDemo, dlgVer</t>
  </si>
  <si>
    <t xml:space="preserve">nenhum (tela / Node-RED)</t>
  </si>
  <si>
    <t xml:space="preserve">Quais popups gravam no PLC além de DB52/53/55 não está confirmado nos arquivos: coluna PLC é proposta.</t>
  </si>
  <si>
    <t xml:space="preserve">Novo nº (1º destino)</t>
  </si>
  <si>
    <t xml:space="preserve">Novo nome</t>
  </si>
  <si>
    <t xml:space="preserve">DB52 db52_BancoTeste2_DSE</t>
  </si>
  <si>
    <t xml:space="preserve">db052_BancoTeste2_DSE</t>
  </si>
  <si>
    <t xml:space="preserve">mantém o número; só renomeia. Não renomiei por DSE e nome do fabricante</t>
  </si>
  <si>
    <t xml:space="preserve">DB53 SNAP MANUAL</t>
  </si>
  <si>
    <t xml:space="preserve">db053_BancoTeste2_SnapManual</t>
  </si>
  <si>
    <t xml:space="preserve">mantém o número. Feito</t>
  </si>
  <si>
    <t xml:space="preserve">DB54 parâmetros</t>
  </si>
  <si>
    <t xml:space="preserve">db054_BancoTeste2_Parametros</t>
  </si>
  <si>
    <t xml:space="preserve">mantém. Feito</t>
  </si>
  <si>
    <t xml:space="preserve">DB55 chaves (56+400)</t>
  </si>
  <si>
    <t xml:space="preserve">db150_BC56_Chaves e db158_BC400_Chaves</t>
  </si>
  <si>
    <t xml:space="preserve">ESTRUTURA MUDA: um DB por banco, arrays sem sufixo. Já criei esta em teste no PLC . Feito</t>
  </si>
  <si>
    <t xml:space="preserve">FB200 fb200_setupChaves</t>
  </si>
  <si>
    <t xml:space="preserve">mesmo código, novo número. Feito</t>
  </si>
  <si>
    <t xml:space="preserve">DB200 (instância 56 kW)</t>
  </si>
  <si>
    <t xml:space="preserve">db154_BC56_SetupChaves</t>
  </si>
  <si>
    <t xml:space="preserve">Já criei esta em teste no PLC </t>
  </si>
  <si>
    <t xml:space="preserve">DB201 (instância 400 kW)</t>
  </si>
  <si>
    <t xml:space="preserve">db162_BC400_SetupChaves</t>
  </si>
  <si>
    <t xml:space="preserve">FC100 Card banco de Cargas</t>
  </si>
  <si>
    <t xml:space="preserve">Ordem: 1 congelar; 2 teste quinta/sexta (corrige só o que falhar); 3 criar DBs novos em paralelo; 4 trocar endereços S7 nos JSONs (tabela acima); 5 validar; 6 remover antigos.</t>
  </si>
  <si>
    <t xml:space="preserve">Ao trocar 1515 -&gt; 1214: reconfirmar PUT/GET, conexões S7 (14, 8 reservadas), tamanho total dos DBs vs 200 kB de memória de trabalho.</t>
  </si>
  <si>
    <t xml:space="preserve">Item</t>
  </si>
  <si>
    <t xml:space="preserve">Valor</t>
  </si>
  <si>
    <t xml:space="preserve">Memória de trabalho</t>
  </si>
  <si>
    <t xml:space="preserve">200 kB</t>
  </si>
  <si>
    <t xml:space="preserve">Memória de carga</t>
  </si>
  <si>
    <t xml:space="preserve">4 MB</t>
  </si>
  <si>
    <t xml:space="preserve">Área retentiva</t>
  </si>
  <si>
    <t xml:space="preserve">14 kB</t>
  </si>
  <si>
    <t xml:space="preserve">Blocos endereçáveis (DB+FC+FB+cont.+temp.)</t>
  </si>
  <si>
    <t xml:space="preserve">1 a 65535</t>
  </si>
  <si>
    <t xml:space="preserve">limitado só pela RAM de código</t>
  </si>
  <si>
    <t xml:space="preserve">Conexões S7</t>
  </si>
  <si>
    <t xml:space="preserve">8 reservadas / 14 máx.</t>
  </si>
  <si>
    <t xml:space="preserve">Fonte: S7-1200F CPU 1214FC DC/DC/DC, 6ES7214-1AF40-0XB0, datasheet 11/22/2023 (A700000006981255.pdf).</t>
  </si>
  <si>
    <t xml:space="preserve">Estrutura detalhada dos DBs novos (BT+4, +6, +7, +8; banco +1)</t>
  </si>
  <si>
    <t xml:space="preserve">DB seletor manual/auto = DB10 (comum)</t>
  </si>
  <si>
    <t xml:space="preserve">Node-RED: um flow por card, um endpoint S7 por PC</t>
  </si>
  <si>
    <t xml:space="preserve">aguardando JSONs (usuário ensina depois)</t>
  </si>
  <si>
    <t xml:space="preserve">R teórico, reset da base no STOP do gerador, Habilitada como CB/SB (FB setupChaves)</t>
  </si>
  <si>
    <t xml:space="preserve">assumidos - confirmar</t>
  </si>
  <si>
    <t xml:space="preserve">Quais popups gravam no PLC</t>
  </si>
  <si>
    <t xml:space="preserve">confirmar</t>
  </si>
  <si>
    <t xml:space="preserve">Heartbeat: criar DB58 no PLC (aprovado 22/10); depois o flow "Modo (API)" e as bolinhas reais</t>
  </si>
  <si>
    <t xml:space="preserve">a desenvolver (aguarda o DB58)</t>
  </si>
  <si>
    <t xml:space="preserve">PUT/GET 1515 ⇄ ET200: criar FB101, DB155 e DB163 (aprovados 22/10) + DB10/DB11 no ET200</t>
  </si>
  <si>
    <t xml:space="preserve">a desenvolver (usuário no TIA; SCL v3 na pasta claude/)</t>
  </si>
  <si>
    <t xml:space="preserve">Proteção cbLigar: aprovar FB102/DB156/DB164 (D2), criar flow "Modo (API)" com pulso do Node-RED no DB58 (D3), limite do vigia 30 s (D1), layout do DB52 para validade (D4)</t>
  </si>
  <si>
    <t xml:space="preserve">aguardando decisões (claude/PROTECAO_COMANDOS_PERSISTENTES_CB.md)</t>
  </si>
  <si>
    <t xml:space="preserve">Status do banco (DB151/DB159): definir conteúdo (ex.: ComOk)</t>
  </si>
  <si>
    <t xml:space="preserve">Código das ocorrências (COM/DSE/CHV/ENS/SIS/PLC): confirmar o padrão AAA-NNN</t>
  </si>
  <si>
    <t xml:space="preserve">aguardando confirmação (claude/PADRAO_OCORRENCIAS_MENSAGENS_FALHAS.md)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</si>
</sst>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b val="1"/>
        <color rgb="FFFF0000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44"/>
    <col collapsed="false" customWidth="true" hidden="false" outlineLevel="0" max="3" min="3" style="0" width="62"/>
  </cols>
  <sheetData>
    <row r="1" customFormat="false" ht="15" hidden="false" customHeight="tru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2" t="s">
        <v>3</v>
      </c>
      <c r="B5" s="4" t="n">
        <v>50</v>
      </c>
      <c r="C5" s="2" t="s">
        <v>4</v>
      </c>
    </row>
    <row r="6" customFormat="false" ht="14.25" hidden="false" customHeight="false" outlineLevel="0" collapsed="false">
      <c r="A6" s="2" t="s">
        <v>5</v>
      </c>
      <c r="B6" s="4" t="n">
        <v>100</v>
      </c>
      <c r="C6" s="2" t="s">
        <v>4</v>
      </c>
    </row>
    <row r="7" customFormat="false" ht="14.25" hidden="false" customHeight="false" outlineLevel="0" collapsed="false">
      <c r="A7" s="2" t="s">
        <v>6</v>
      </c>
      <c r="B7" s="4" t="n">
        <v>150</v>
      </c>
      <c r="C7" s="2" t="s">
        <v>7</v>
      </c>
    </row>
    <row r="8" customFormat="false" ht="14.25" hidden="false" customHeight="false" outlineLevel="0" collapsed="false">
      <c r="A8" s="2" t="s">
        <v>8</v>
      </c>
      <c r="B8" s="4" t="n">
        <v>8</v>
      </c>
      <c r="C8" s="2" t="s">
        <v>7</v>
      </c>
    </row>
    <row r="9" customFormat="false" ht="14.25" hidden="false" customHeight="false" outlineLevel="0" collapsed="false">
      <c r="A9" s="2" t="s">
        <v>9</v>
      </c>
      <c r="B9" s="4" t="n">
        <v>10</v>
      </c>
      <c r="C9" s="2" t="s">
        <v>10</v>
      </c>
    </row>
    <row r="10" customFormat="false" ht="14.25" hidden="false" customHeight="false" outlineLevel="0" collapsed="false">
      <c r="A10" s="2" t="s">
        <v>11</v>
      </c>
      <c r="B10" s="4" t="n">
        <v>50</v>
      </c>
      <c r="C10" s="2" t="s">
        <v>7</v>
      </c>
    </row>
    <row r="11" customFormat="false" ht="14.25" hidden="false" customHeight="false" outlineLevel="0" collapsed="false">
      <c r="A11" s="2" t="s">
        <v>12</v>
      </c>
      <c r="B11" s="4" t="n">
        <v>100</v>
      </c>
      <c r="C11" s="2" t="s">
        <v>7</v>
      </c>
    </row>
    <row r="13" customFormat="false" ht="14.25" hidden="false" customHeight="false" outlineLevel="0" collapsed="false">
      <c r="A13" s="3" t="s">
        <v>13</v>
      </c>
    </row>
    <row r="14" customFormat="false" ht="14.25" hidden="false" customHeight="false" outlineLevel="0" collapsed="false">
      <c r="A14" s="2" t="s">
        <v>14</v>
      </c>
      <c r="B14" s="2" t="s">
        <v>15</v>
      </c>
      <c r="C14" s="2" t="s">
        <v>16</v>
      </c>
    </row>
    <row r="15" customFormat="false" ht="14.25" hidden="false" customHeight="false" outlineLevel="0" collapsed="false">
      <c r="A15" s="2" t="s">
        <v>17</v>
      </c>
      <c r="B15" s="2" t="s">
        <v>18</v>
      </c>
      <c r="C15" s="2" t="s">
        <v>19</v>
      </c>
    </row>
    <row r="16" customFormat="false" ht="14.25" hidden="false" customHeight="false" outlineLevel="0" collapsed="false">
      <c r="A16" s="2" t="s">
        <v>20</v>
      </c>
      <c r="B16" s="2" t="s">
        <v>21</v>
      </c>
      <c r="C16" s="2" t="s">
        <v>22</v>
      </c>
    </row>
    <row r="17" customFormat="false" ht="14.25" hidden="false" customHeight="false" outlineLevel="0" collapsed="false">
      <c r="A17" s="2" t="s">
        <v>23</v>
      </c>
      <c r="B17" s="2" t="s">
        <v>24</v>
      </c>
      <c r="C17" s="2" t="s">
        <v>25</v>
      </c>
    </row>
    <row r="18" customFormat="false" ht="14.25" hidden="false" customHeight="false" outlineLevel="0" collapsed="false">
      <c r="A18" s="2" t="s">
        <v>26</v>
      </c>
      <c r="B18" s="2" t="s">
        <v>27</v>
      </c>
      <c r="C18" s="2" t="s">
        <v>28</v>
      </c>
    </row>
    <row r="19" customFormat="false" ht="14.25" hidden="false" customHeight="false" outlineLevel="0" collapsed="false">
      <c r="A19" s="2" t="s">
        <v>29</v>
      </c>
      <c r="B19" s="2" t="s">
        <v>30</v>
      </c>
      <c r="C19" s="2" t="s">
        <v>31</v>
      </c>
    </row>
    <row r="20" customFormat="false" ht="14.25" hidden="false" customHeight="false" outlineLevel="0" collapsed="false">
      <c r="A20" s="2" t="s">
        <v>32</v>
      </c>
      <c r="B20" s="2" t="s">
        <v>33</v>
      </c>
      <c r="C20" s="2" t="s">
        <v>34</v>
      </c>
    </row>
    <row r="22" customFormat="false" ht="14.25" hidden="false" customHeight="false" outlineLevel="0" collapsed="false">
      <c r="A22" s="3" t="s">
        <v>35</v>
      </c>
    </row>
    <row r="23" customFormat="false" ht="14.25" hidden="false" customHeight="false" outlineLevel="0" collapsed="false">
      <c r="A23" s="2" t="s">
        <v>36</v>
      </c>
    </row>
    <row r="24" customFormat="false" ht="14.25" hidden="false" customHeight="false" outlineLevel="0" collapsed="false">
      <c r="A24" s="2" t="s">
        <v>37</v>
      </c>
    </row>
    <row r="25" customFormat="false" ht="14.25" hidden="false" customHeight="false" outlineLevel="0" collapsed="false">
      <c r="A25" s="2" t="s">
        <v>38</v>
      </c>
    </row>
    <row r="26" customFormat="false" ht="14.25" hidden="false" customHeight="false" outlineLevel="0" collapsed="false">
      <c r="A26" s="2" t="s">
        <v>39</v>
      </c>
    </row>
    <row r="27" customFormat="false" ht="14.25" hidden="false" customHeight="false" outlineLevel="0" collapsed="false">
      <c r="A27" s="2" t="s">
        <v>40</v>
      </c>
    </row>
    <row r="28" customFormat="false" ht="14.25" hidden="false" customHeight="false" outlineLevel="0" collapsed="false">
      <c r="A28" s="2" t="s">
        <v>41</v>
      </c>
    </row>
    <row r="29" customFormat="false" ht="14.25" hidden="false" customHeight="false" outlineLevel="0" collapsed="false">
      <c r="A29" s="2" t="s">
        <v>42</v>
      </c>
    </row>
    <row r="31" customFormat="false" ht="14.25" hidden="false" customHeight="false" outlineLevel="0" collapsed="false">
      <c r="A31" s="3" t="s">
        <v>43</v>
      </c>
    </row>
    <row r="32" customFormat="false" ht="14.25" hidden="false" customHeight="false" outlineLevel="0" collapsed="false">
      <c r="A32" s="5" t="s">
        <v>44</v>
      </c>
    </row>
    <row r="33" customFormat="false" ht="14.25" hidden="false" customHeight="false" outlineLevel="0" collapsed="false">
      <c r="A33" s="6" t="s">
        <v>45</v>
      </c>
    </row>
    <row r="34" customFormat="false" ht="14.25" hidden="false" customHeight="false" outlineLevel="0" collapsed="false">
      <c r="A34" s="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46"/>
    <col collapsed="false" customWidth="true" hidden="false" outlineLevel="0" max="9" min="8" style="0" width="16"/>
    <col collapsed="false" customWidth="true" hidden="false" outlineLevel="0" max="10" min="10" style="0" width="38"/>
    <col collapsed="false" customWidth="true" hidden="false" outlineLevel="0" max="11" min="11" style="0" width="28"/>
    <col collapsed="false" customWidth="true" hidden="false" outlineLevel="0" max="12" min="12" style="0" width="34"/>
    <col collapsed="false" customWidth="true" hidden="false" outlineLevel="0" max="13" min="13" style="0" width="17"/>
    <col collapsed="false" customWidth="true" hidden="false" outlineLevel="0" max="14" min="14" style="0" width="12"/>
    <col collapsed="false" customWidth="true" hidden="false" outlineLevel="0" max="15" min="15" style="0" width="26"/>
    <col collapsed="false" customWidth="true" hidden="false" outlineLevel="0" max="16" min="16" style="0" width="60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8" t="s">
        <v>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customFormat="false" ht="30" hidden="false" customHeight="true" outlineLevel="0" collapsed="false">
      <c r="A2" s="9" t="s">
        <v>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customFormat="false" ht="30" hidden="false" customHeight="true" outlineLevel="0" collapsed="false">
      <c r="A3" s="9" t="s">
        <v>49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customFormat="false" ht="30" hidden="false" customHeight="true" outlineLevel="0" collapsed="false">
      <c r="A4" s="9" t="s">
        <v>50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6" customFormat="false" ht="23.85" hidden="false" customHeight="false" outlineLevel="0" collapsed="false">
      <c r="A6" s="10" t="s">
        <v>51</v>
      </c>
      <c r="B6" s="10" t="s">
        <v>52</v>
      </c>
      <c r="C6" s="10" t="s">
        <v>53</v>
      </c>
      <c r="D6" s="10" t="s">
        <v>54</v>
      </c>
      <c r="E6" s="10" t="s">
        <v>55</v>
      </c>
      <c r="F6" s="10" t="s">
        <v>56</v>
      </c>
      <c r="G6" s="10" t="s">
        <v>57</v>
      </c>
      <c r="H6" s="10" t="s">
        <v>58</v>
      </c>
      <c r="I6" s="10" t="s">
        <v>59</v>
      </c>
      <c r="J6" s="10" t="s">
        <v>60</v>
      </c>
      <c r="K6" s="10" t="s">
        <v>61</v>
      </c>
      <c r="L6" s="10" t="s">
        <v>62</v>
      </c>
      <c r="M6" s="10" t="s">
        <v>63</v>
      </c>
      <c r="N6" s="10" t="s">
        <v>64</v>
      </c>
      <c r="O6" s="10" t="s">
        <v>65</v>
      </c>
      <c r="P6" s="10" t="s">
        <v>66</v>
      </c>
      <c r="Q6" s="10" t="s">
        <v>67</v>
      </c>
    </row>
    <row r="7" customFormat="false" ht="23.85" hidden="false" customHeight="false" outlineLevel="0" collapsed="false">
      <c r="A7" s="11" t="n">
        <v>1</v>
      </c>
      <c r="B7" s="11" t="s">
        <v>68</v>
      </c>
      <c r="C7" s="11" t="s">
        <v>69</v>
      </c>
      <c r="D7" s="11" t="s">
        <v>70</v>
      </c>
      <c r="E7" s="11" t="n">
        <f aca="false">Regras!$B$5+2</f>
        <v>52</v>
      </c>
      <c r="F7" s="11" t="str">
        <f aca="false">"db"&amp;TEXT(E7,"000")&amp;"_BancoTeste2_Dse"</f>
        <v>db052_BancoTeste2_Dse</v>
      </c>
      <c r="G7" s="11" t="s">
        <v>71</v>
      </c>
      <c r="H7" s="11" t="s">
        <v>72</v>
      </c>
      <c r="I7" s="11" t="s">
        <v>73</v>
      </c>
      <c r="J7" s="11" t="s">
        <v>74</v>
      </c>
      <c r="K7" s="11" t="s">
        <v>75</v>
      </c>
      <c r="L7" s="11" t="s">
        <v>76</v>
      </c>
      <c r="M7" s="11" t="s">
        <v>77</v>
      </c>
      <c r="N7" s="11" t="s">
        <v>78</v>
      </c>
      <c r="O7" s="11" t="s">
        <v>79</v>
      </c>
      <c r="P7" s="11" t="s">
        <v>80</v>
      </c>
      <c r="Q7" s="11" t="str">
        <f aca="false">IF(E7="","",IF(COUNTIFS($B$7:$B$60,B7,$C$7:$C$60,C7,$E$7:$E$60,E7)&gt;1,"DUPLICADO","ok"))</f>
        <v>ok</v>
      </c>
    </row>
    <row r="8" customFormat="false" ht="23.85" hidden="false" customHeight="false" outlineLevel="0" collapsed="false">
      <c r="A8" s="11" t="n">
        <v>2</v>
      </c>
      <c r="B8" s="11" t="s">
        <v>68</v>
      </c>
      <c r="C8" s="11" t="s">
        <v>69</v>
      </c>
      <c r="D8" s="11" t="s">
        <v>70</v>
      </c>
      <c r="E8" s="11" t="n">
        <f aca="false">Regras!$B$5+3</f>
        <v>53</v>
      </c>
      <c r="F8" s="11" t="str">
        <f aca="false">"db"&amp;TEXT(E8,"000")&amp;"_BancoTeste2_SnapManual"</f>
        <v>db053_BancoTeste2_SnapManual</v>
      </c>
      <c r="G8" s="11" t="s">
        <v>81</v>
      </c>
      <c r="H8" s="11" t="s">
        <v>72</v>
      </c>
      <c r="I8" s="11" t="s">
        <v>73</v>
      </c>
      <c r="J8" s="11" t="s">
        <v>82</v>
      </c>
      <c r="K8" s="11" t="s">
        <v>83</v>
      </c>
      <c r="L8" s="11" t="s">
        <v>84</v>
      </c>
      <c r="M8" s="11" t="s">
        <v>77</v>
      </c>
      <c r="N8" s="11" t="s">
        <v>78</v>
      </c>
      <c r="O8" s="11" t="s">
        <v>79</v>
      </c>
      <c r="P8" s="11" t="s">
        <v>85</v>
      </c>
      <c r="Q8" s="11" t="str">
        <f aca="false">IF(E8="","",IF(COUNTIFS($B$7:$B$60,B8,$C$7:$C$60,C8,$E$7:$E$60,E8)&gt;1,"DUPLICADO","ok"))</f>
        <v>ok</v>
      </c>
    </row>
    <row r="9" customFormat="false" ht="15" hidden="false" customHeight="false" outlineLevel="0" collapsed="false">
      <c r="A9" s="11" t="n">
        <v>3</v>
      </c>
      <c r="B9" s="11" t="s">
        <v>68</v>
      </c>
      <c r="C9" s="11" t="s">
        <v>69</v>
      </c>
      <c r="D9" s="11" t="s">
        <v>70</v>
      </c>
      <c r="E9" s="11" t="n">
        <f aca="false">Regras!$B$5+4</f>
        <v>54</v>
      </c>
      <c r="F9" s="11" t="str">
        <f aca="false">"db"&amp;TEXT(E9,"000")&amp;"_BancoTeste2_Parametros"</f>
        <v>db054_BancoTeste2_Parametros</v>
      </c>
      <c r="G9" s="11" t="s">
        <v>86</v>
      </c>
      <c r="H9" s="11" t="s">
        <v>87</v>
      </c>
      <c r="I9" s="11" t="s">
        <v>73</v>
      </c>
      <c r="J9" s="11" t="s">
        <v>73</v>
      </c>
      <c r="K9" s="11" t="s">
        <v>88</v>
      </c>
      <c r="L9" s="11" t="s">
        <v>89</v>
      </c>
      <c r="M9" s="11" t="s">
        <v>7</v>
      </c>
      <c r="N9" s="11" t="s">
        <v>90</v>
      </c>
      <c r="O9" s="11" t="s">
        <v>91</v>
      </c>
      <c r="P9" s="11" t="s">
        <v>92</v>
      </c>
      <c r="Q9" s="11" t="str">
        <f aca="false">IF(E9="","",IF(COUNTIFS($B$7:$B$60,B9,$C$7:$C$60,C9,$E$7:$E$60,E9)&gt;1,"DUPLICADO","ok"))</f>
        <v>ok</v>
      </c>
    </row>
    <row r="10" customFormat="false" ht="23.85" hidden="false" customHeight="false" outlineLevel="0" collapsed="false">
      <c r="A10" s="11" t="n">
        <v>4</v>
      </c>
      <c r="B10" s="11" t="s">
        <v>68</v>
      </c>
      <c r="C10" s="11" t="s">
        <v>69</v>
      </c>
      <c r="D10" s="11" t="s">
        <v>93</v>
      </c>
      <c r="E10" s="11" t="n">
        <f aca="false">Bancos!E2</f>
        <v>150</v>
      </c>
      <c r="F10" s="11" t="str">
        <f aca="false">Bancos!H2</f>
        <v>db150_BC56_Chaves</v>
      </c>
      <c r="G10" s="11" t="s">
        <v>94</v>
      </c>
      <c r="H10" s="11" t="s">
        <v>72</v>
      </c>
      <c r="I10" s="11" t="s">
        <v>73</v>
      </c>
      <c r="J10" s="11" t="s">
        <v>82</v>
      </c>
      <c r="K10" s="11" t="s">
        <v>95</v>
      </c>
      <c r="L10" s="11" t="s">
        <v>96</v>
      </c>
      <c r="M10" s="11" t="s">
        <v>77</v>
      </c>
      <c r="N10" s="11" t="s">
        <v>78</v>
      </c>
      <c r="O10" s="11" t="s">
        <v>79</v>
      </c>
      <c r="P10" s="11" t="s">
        <v>97</v>
      </c>
      <c r="Q10" s="11" t="str">
        <f aca="false">IF(E10="","",IF(COUNTIFS($B$7:$B$60,B10,$C$7:$C$60,C10,$E$7:$E$60,E10)&gt;1,"DUPLICADO","ok"))</f>
        <v>ok</v>
      </c>
    </row>
    <row r="11" customFormat="false" ht="23.85" hidden="false" customHeight="false" outlineLevel="0" collapsed="false">
      <c r="A11" s="11" t="n">
        <v>5</v>
      </c>
      <c r="B11" s="11" t="s">
        <v>68</v>
      </c>
      <c r="C11" s="11" t="s">
        <v>69</v>
      </c>
      <c r="D11" s="11" t="s">
        <v>98</v>
      </c>
      <c r="E11" s="11" t="n">
        <f aca="false">Bancos!E3</f>
        <v>158</v>
      </c>
      <c r="F11" s="11" t="str">
        <f aca="false">Bancos!H3</f>
        <v>db158_BC400_Chaves</v>
      </c>
      <c r="G11" s="11" t="s">
        <v>99</v>
      </c>
      <c r="H11" s="11" t="s">
        <v>72</v>
      </c>
      <c r="I11" s="11" t="s">
        <v>73</v>
      </c>
      <c r="J11" s="11" t="s">
        <v>82</v>
      </c>
      <c r="K11" s="11" t="s">
        <v>100</v>
      </c>
      <c r="L11" s="11" t="s">
        <v>101</v>
      </c>
      <c r="M11" s="11" t="s">
        <v>77</v>
      </c>
      <c r="N11" s="11" t="s">
        <v>78</v>
      </c>
      <c r="O11" s="11" t="s">
        <v>79</v>
      </c>
      <c r="P11" s="11" t="s">
        <v>102</v>
      </c>
      <c r="Q11" s="11" t="str">
        <f aca="false">IF(E11="","",IF(COUNTIFS($B$7:$B$60,B11,$C$7:$C$60,C11,$E$7:$E$60,E11)&gt;1,"DUPLICADO","ok"))</f>
        <v>ok</v>
      </c>
    </row>
    <row r="12" customFormat="false" ht="15" hidden="false" customHeight="false" outlineLevel="0" collapsed="false">
      <c r="A12" s="11" t="n">
        <v>6</v>
      </c>
      <c r="B12" s="11" t="s">
        <v>68</v>
      </c>
      <c r="C12" s="11" t="s">
        <v>103</v>
      </c>
      <c r="D12" s="11" t="s">
        <v>104</v>
      </c>
      <c r="E12" s="11" t="n">
        <f aca="false">Regras!$B$11</f>
        <v>100</v>
      </c>
      <c r="F12" s="12" t="s">
        <v>105</v>
      </c>
      <c r="G12" s="11" t="s">
        <v>106</v>
      </c>
      <c r="H12" s="11" t="s">
        <v>107</v>
      </c>
      <c r="I12" s="11" t="s">
        <v>73</v>
      </c>
      <c r="J12" s="11" t="s">
        <v>73</v>
      </c>
      <c r="K12" s="11" t="s">
        <v>108</v>
      </c>
      <c r="L12" s="11" t="s">
        <v>73</v>
      </c>
      <c r="M12" s="11" t="s">
        <v>77</v>
      </c>
      <c r="N12" s="11" t="s">
        <v>78</v>
      </c>
      <c r="O12" s="11" t="s">
        <v>79</v>
      </c>
      <c r="P12" s="11" t="s">
        <v>109</v>
      </c>
      <c r="Q12" s="11" t="str">
        <f aca="false">IF(E12="","",IF(COUNTIFS($B$7:$B$60,B12,$C$7:$C$60,C12,$E$7:$E$60,E12)&gt;1,"DUPLICADO","ok"))</f>
        <v>ok</v>
      </c>
    </row>
    <row r="13" customFormat="false" ht="15" hidden="false" customHeight="false" outlineLevel="0" collapsed="false">
      <c r="A13" s="11" t="n">
        <v>7</v>
      </c>
      <c r="B13" s="11" t="s">
        <v>68</v>
      </c>
      <c r="C13" s="11" t="s">
        <v>69</v>
      </c>
      <c r="D13" s="11" t="s">
        <v>110</v>
      </c>
      <c r="E13" s="11" t="n">
        <f aca="false">Bancos!G2</f>
        <v>154</v>
      </c>
      <c r="F13" s="11" t="str">
        <f aca="false">Bancos!I2</f>
        <v>db154_BC56_SetupChaves</v>
      </c>
      <c r="G13" s="11" t="s">
        <v>111</v>
      </c>
      <c r="H13" s="11" t="s">
        <v>107</v>
      </c>
      <c r="I13" s="11" t="s">
        <v>112</v>
      </c>
      <c r="J13" s="11" t="s">
        <v>73</v>
      </c>
      <c r="K13" s="11" t="s">
        <v>73</v>
      </c>
      <c r="L13" s="11" t="s">
        <v>73</v>
      </c>
      <c r="M13" s="11" t="s">
        <v>77</v>
      </c>
      <c r="N13" s="11" t="s">
        <v>78</v>
      </c>
      <c r="O13" s="11" t="s">
        <v>79</v>
      </c>
      <c r="P13" s="11"/>
      <c r="Q13" s="11" t="str">
        <f aca="false">IF(E13="","",IF(COUNTIFS($B$7:$B$60,B13,$C$7:$C$60,C13,$E$7:$E$60,E13)&gt;1,"DUPLICADO","ok"))</f>
        <v>ok</v>
      </c>
    </row>
    <row r="14" customFormat="false" ht="15" hidden="false" customHeight="false" outlineLevel="0" collapsed="false">
      <c r="A14" s="11" t="n">
        <v>8</v>
      </c>
      <c r="B14" s="11" t="s">
        <v>68</v>
      </c>
      <c r="C14" s="11" t="s">
        <v>69</v>
      </c>
      <c r="D14" s="11" t="s">
        <v>113</v>
      </c>
      <c r="E14" s="11" t="n">
        <f aca="false">Bancos!G3</f>
        <v>162</v>
      </c>
      <c r="F14" s="11" t="str">
        <f aca="false">Bancos!I3</f>
        <v>db162_BC400_SetupChaves</v>
      </c>
      <c r="G14" s="11" t="s">
        <v>114</v>
      </c>
      <c r="H14" s="11" t="s">
        <v>107</v>
      </c>
      <c r="I14" s="11" t="s">
        <v>112</v>
      </c>
      <c r="J14" s="11" t="s">
        <v>73</v>
      </c>
      <c r="K14" s="11" t="s">
        <v>73</v>
      </c>
      <c r="L14" s="11" t="s">
        <v>73</v>
      </c>
      <c r="M14" s="11" t="s">
        <v>77</v>
      </c>
      <c r="N14" s="11" t="s">
        <v>78</v>
      </c>
      <c r="O14" s="11" t="s">
        <v>79</v>
      </c>
      <c r="P14" s="11"/>
      <c r="Q14" s="11" t="str">
        <f aca="false">IF(E14="","",IF(COUNTIFS($B$7:$B$60,B14,$C$7:$C$60,C14,$E$7:$E$60,E14)&gt;1,"DUPLICADO","ok"))</f>
        <v>ok</v>
      </c>
    </row>
    <row r="15" customFormat="false" ht="23.85" hidden="false" customHeight="false" outlineLevel="0" collapsed="false">
      <c r="A15" s="11" t="n">
        <v>9</v>
      </c>
      <c r="B15" s="11" t="s">
        <v>68</v>
      </c>
      <c r="C15" s="11" t="s">
        <v>115</v>
      </c>
      <c r="D15" s="11" t="s">
        <v>70</v>
      </c>
      <c r="E15" s="12" t="n">
        <v>100</v>
      </c>
      <c r="F15" s="12" t="s">
        <v>116</v>
      </c>
      <c r="G15" s="11" t="s">
        <v>117</v>
      </c>
      <c r="H15" s="11" t="s">
        <v>73</v>
      </c>
      <c r="I15" s="11" t="s">
        <v>73</v>
      </c>
      <c r="J15" s="11" t="s">
        <v>118</v>
      </c>
      <c r="K15" s="11" t="s">
        <v>119</v>
      </c>
      <c r="L15" s="11" t="s">
        <v>73</v>
      </c>
      <c r="M15" s="11" t="s">
        <v>77</v>
      </c>
      <c r="N15" s="11" t="s">
        <v>78</v>
      </c>
      <c r="O15" s="11" t="s">
        <v>120</v>
      </c>
      <c r="P15" s="11" t="s">
        <v>121</v>
      </c>
      <c r="Q15" s="11" t="str">
        <f aca="false">IF(E15="","",IF(COUNTIFS($B$7:$B$60,B15,$C$7:$C$60,C15,$E$7:$E$60,E15)&gt;1,"DUPLICADO","ok"))</f>
        <v>ok</v>
      </c>
    </row>
    <row r="16" customFormat="false" ht="35.05" hidden="false" customHeight="false" outlineLevel="0" collapsed="false">
      <c r="A16" s="11" t="n">
        <v>10</v>
      </c>
      <c r="B16" s="11" t="s">
        <v>68</v>
      </c>
      <c r="C16" s="11" t="s">
        <v>103</v>
      </c>
      <c r="D16" s="11" t="s">
        <v>122</v>
      </c>
      <c r="E16" s="11" t="n">
        <f aca="false">Regras!$B$11+1</f>
        <v>101</v>
      </c>
      <c r="F16" s="11" t="str">
        <f aca="false">"fb"&amp;TEXT(E16,"000")&amp;"_ComEt200"</f>
        <v>fb101_ComEt200</v>
      </c>
      <c r="G16" s="11" t="s">
        <v>123</v>
      </c>
      <c r="H16" s="11" t="s">
        <v>72</v>
      </c>
      <c r="I16" s="11" t="s">
        <v>124</v>
      </c>
      <c r="J16" s="11" t="s">
        <v>125</v>
      </c>
      <c r="K16" s="11" t="s">
        <v>119</v>
      </c>
      <c r="L16" s="11" t="s">
        <v>73</v>
      </c>
      <c r="M16" s="11" t="s">
        <v>126</v>
      </c>
      <c r="N16" s="11" t="s">
        <v>90</v>
      </c>
      <c r="O16" s="11" t="s">
        <v>127</v>
      </c>
      <c r="P16" s="11" t="s">
        <v>128</v>
      </c>
      <c r="Q16" s="11" t="str">
        <f aca="false">IF(E16="","",IF(COUNTIFS($B$7:$B$60,B16,$C$7:$C$60,C16,$E$7:$E$60,E16)&gt;1,"DUPLICADO","ok"))</f>
        <v>ok</v>
      </c>
    </row>
    <row r="17" customFormat="false" ht="23.85" hidden="false" customHeight="false" outlineLevel="0" collapsed="false">
      <c r="A17" s="11" t="n">
        <v>11</v>
      </c>
      <c r="B17" s="11" t="s">
        <v>68</v>
      </c>
      <c r="C17" s="11" t="s">
        <v>69</v>
      </c>
      <c r="D17" s="11" t="s">
        <v>129</v>
      </c>
      <c r="E17" s="11" t="n">
        <f aca="false">Bancos!G2+1</f>
        <v>155</v>
      </c>
      <c r="F17" s="11" t="str">
        <f aca="false">"db"&amp;TEXT(E17,"000")&amp;"_BC56_ComEt200"</f>
        <v>db155_BC56_ComEt200</v>
      </c>
      <c r="G17" s="11" t="s">
        <v>130</v>
      </c>
      <c r="H17" s="11" t="s">
        <v>72</v>
      </c>
      <c r="I17" s="11" t="s">
        <v>131</v>
      </c>
      <c r="J17" s="11" t="s">
        <v>73</v>
      </c>
      <c r="K17" s="11" t="s">
        <v>119</v>
      </c>
      <c r="L17" s="11" t="s">
        <v>73</v>
      </c>
      <c r="M17" s="11" t="s">
        <v>126</v>
      </c>
      <c r="N17" s="11" t="s">
        <v>90</v>
      </c>
      <c r="O17" s="11" t="s">
        <v>127</v>
      </c>
      <c r="P17" s="11" t="s">
        <v>132</v>
      </c>
      <c r="Q17" s="11" t="str">
        <f aca="false">IF(E17="","",IF(COUNTIFS($B$7:$B$60,B17,$C$7:$C$60,C17,$E$7:$E$60,E17)&gt;1,"DUPLICADO","ok"))</f>
        <v>ok</v>
      </c>
    </row>
    <row r="18" customFormat="false" ht="23.85" hidden="false" customHeight="false" outlineLevel="0" collapsed="false">
      <c r="A18" s="11" t="n">
        <v>12</v>
      </c>
      <c r="B18" s="11" t="s">
        <v>68</v>
      </c>
      <c r="C18" s="11" t="s">
        <v>69</v>
      </c>
      <c r="D18" s="11" t="s">
        <v>133</v>
      </c>
      <c r="E18" s="11" t="n">
        <f aca="false">Bancos!G3+1</f>
        <v>163</v>
      </c>
      <c r="F18" s="11" t="str">
        <f aca="false">"db"&amp;TEXT(E18,"000")&amp;"_BC400_ComEt200"</f>
        <v>db163_BC400_ComEt200</v>
      </c>
      <c r="G18" s="11" t="s">
        <v>134</v>
      </c>
      <c r="H18" s="11" t="s">
        <v>72</v>
      </c>
      <c r="I18" s="11" t="s">
        <v>131</v>
      </c>
      <c r="J18" s="11" t="s">
        <v>73</v>
      </c>
      <c r="K18" s="11" t="s">
        <v>119</v>
      </c>
      <c r="L18" s="11" t="s">
        <v>73</v>
      </c>
      <c r="M18" s="11" t="s">
        <v>126</v>
      </c>
      <c r="N18" s="11" t="s">
        <v>90</v>
      </c>
      <c r="O18" s="11" t="s">
        <v>127</v>
      </c>
      <c r="P18" s="11" t="s">
        <v>135</v>
      </c>
      <c r="Q18" s="11" t="str">
        <f aca="false">IF(E18="","",IF(COUNTIFS($B$7:$B$60,B18,$C$7:$C$60,C18,$E$7:$E$60,E18)&gt;1,"DUPLICADO","ok"))</f>
        <v>ok</v>
      </c>
    </row>
    <row r="19" customFormat="false" ht="46.25" hidden="false" customHeight="false" outlineLevel="0" collapsed="false">
      <c r="A19" s="11" t="n">
        <v>13</v>
      </c>
      <c r="B19" s="11" t="s">
        <v>68</v>
      </c>
      <c r="C19" s="11" t="s">
        <v>103</v>
      </c>
      <c r="D19" s="11" t="s">
        <v>136</v>
      </c>
      <c r="E19" s="11" t="n">
        <f aca="false">Regras!$B$11+2</f>
        <v>102</v>
      </c>
      <c r="F19" s="11" t="str">
        <f aca="false">"fb"&amp;TEXT(E19,"000")&amp;"_WatchdogComandos"</f>
        <v>fb102_WatchdogComandos</v>
      </c>
      <c r="G19" s="11" t="s">
        <v>137</v>
      </c>
      <c r="H19" s="11" t="s">
        <v>107</v>
      </c>
      <c r="I19" s="11" t="s">
        <v>73</v>
      </c>
      <c r="J19" s="11" t="s">
        <v>138</v>
      </c>
      <c r="K19" s="11" t="s">
        <v>119</v>
      </c>
      <c r="L19" s="11" t="s">
        <v>73</v>
      </c>
      <c r="M19" s="11" t="s">
        <v>7</v>
      </c>
      <c r="N19" s="11" t="s">
        <v>90</v>
      </c>
      <c r="O19" s="11" t="s">
        <v>139</v>
      </c>
      <c r="P19" s="11" t="s">
        <v>140</v>
      </c>
      <c r="Q19" s="11" t="str">
        <f aca="false">IF(E19="","",IF(COUNTIFS($B$7:$B$60,B19,$C$7:$C$60,C19,$E$7:$E$60,E19)&gt;1,"DUPLICADO","ok"))</f>
        <v>ok</v>
      </c>
    </row>
    <row r="20" customFormat="false" ht="23.85" hidden="false" customHeight="false" outlineLevel="0" collapsed="false">
      <c r="A20" s="11" t="n">
        <v>14</v>
      </c>
      <c r="B20" s="11" t="s">
        <v>68</v>
      </c>
      <c r="C20" s="11" t="s">
        <v>69</v>
      </c>
      <c r="D20" s="11" t="s">
        <v>141</v>
      </c>
      <c r="E20" s="11" t="n">
        <f aca="false">Bancos!G2+2</f>
        <v>156</v>
      </c>
      <c r="F20" s="11" t="str">
        <f aca="false">"db"&amp;TEXT(E20,"000")&amp;"_BC56_WatchdogCmd"</f>
        <v>db156_BC56_WatchdogCmd</v>
      </c>
      <c r="G20" s="11" t="s">
        <v>142</v>
      </c>
      <c r="H20" s="11" t="s">
        <v>107</v>
      </c>
      <c r="I20" s="11" t="s">
        <v>143</v>
      </c>
      <c r="J20" s="11" t="s">
        <v>73</v>
      </c>
      <c r="K20" s="11" t="s">
        <v>119</v>
      </c>
      <c r="L20" s="11" t="s">
        <v>73</v>
      </c>
      <c r="M20" s="11" t="s">
        <v>7</v>
      </c>
      <c r="N20" s="11" t="s">
        <v>90</v>
      </c>
      <c r="O20" s="11" t="s">
        <v>144</v>
      </c>
      <c r="P20" s="11" t="s">
        <v>132</v>
      </c>
      <c r="Q20" s="11" t="str">
        <f aca="false">IF(E20="","",IF(COUNTIFS($B$7:$B$60,B20,$C$7:$C$60,C20,$E$7:$E$60,E20)&gt;1,"DUPLICADO","ok"))</f>
        <v>ok</v>
      </c>
    </row>
    <row r="21" customFormat="false" ht="23.85" hidden="false" customHeight="false" outlineLevel="0" collapsed="false">
      <c r="A21" s="11" t="n">
        <v>15</v>
      </c>
      <c r="B21" s="11" t="s">
        <v>68</v>
      </c>
      <c r="C21" s="11" t="s">
        <v>69</v>
      </c>
      <c r="D21" s="11" t="s">
        <v>145</v>
      </c>
      <c r="E21" s="11" t="n">
        <f aca="false">Bancos!G3+2</f>
        <v>164</v>
      </c>
      <c r="F21" s="11" t="str">
        <f aca="false">"db"&amp;TEXT(E21,"000")&amp;"_BC400_WatchdogCmd"</f>
        <v>db164_BC400_WatchdogCmd</v>
      </c>
      <c r="G21" s="11" t="s">
        <v>146</v>
      </c>
      <c r="H21" s="11" t="s">
        <v>107</v>
      </c>
      <c r="I21" s="11" t="s">
        <v>143</v>
      </c>
      <c r="J21" s="11" t="s">
        <v>73</v>
      </c>
      <c r="K21" s="11" t="s">
        <v>119</v>
      </c>
      <c r="L21" s="11" t="s">
        <v>73</v>
      </c>
      <c r="M21" s="11" t="s">
        <v>7</v>
      </c>
      <c r="N21" s="11" t="s">
        <v>90</v>
      </c>
      <c r="O21" s="11" t="s">
        <v>144</v>
      </c>
      <c r="P21" s="11" t="s">
        <v>135</v>
      </c>
      <c r="Q21" s="11" t="str">
        <f aca="false">IF(E21="","",IF(COUNTIFS($B$7:$B$60,B21,$C$7:$C$60,C21,$E$7:$E$60,E21)&gt;1,"DUPLICADO","ok"))</f>
        <v>ok</v>
      </c>
    </row>
    <row r="22" customFormat="false" ht="35.05" hidden="false" customHeight="false" outlineLevel="0" collapsed="false">
      <c r="A22" s="11" t="n">
        <v>16</v>
      </c>
      <c r="B22" s="11" t="s">
        <v>68</v>
      </c>
      <c r="C22" s="11" t="s">
        <v>69</v>
      </c>
      <c r="D22" s="11" t="s">
        <v>70</v>
      </c>
      <c r="E22" s="11" t="n">
        <f aca="false">Regras!$B$5+8</f>
        <v>58</v>
      </c>
      <c r="F22" s="11" t="str">
        <f aca="false">"db"&amp;TEXT(E22,"000")&amp;"_BancoTeste2_Modo"</f>
        <v>db058_BancoTeste2_Modo</v>
      </c>
      <c r="G22" s="11" t="s">
        <v>147</v>
      </c>
      <c r="H22" s="11" t="s">
        <v>72</v>
      </c>
      <c r="I22" s="11" t="s">
        <v>73</v>
      </c>
      <c r="J22" s="11" t="s">
        <v>148</v>
      </c>
      <c r="K22" s="11" t="s">
        <v>149</v>
      </c>
      <c r="L22" s="11" t="s">
        <v>150</v>
      </c>
      <c r="M22" s="11" t="s">
        <v>126</v>
      </c>
      <c r="N22" s="11" t="s">
        <v>90</v>
      </c>
      <c r="O22" s="11" t="s">
        <v>127</v>
      </c>
      <c r="P22" s="11" t="s">
        <v>151</v>
      </c>
      <c r="Q22" s="11" t="str">
        <f aca="false">IF(E22="","",IF(COUNTIFS($B$7:$B$60,B22,$C$7:$C$60,C22,$E$7:$E$60,E22)&gt;1,"DUPLICADO","ok"))</f>
        <v>ok</v>
      </c>
    </row>
    <row r="23" customFormat="false" ht="15" hidden="false" customHeight="false" outlineLevel="0" collapsed="false">
      <c r="A23" s="11" t="n">
        <v>17</v>
      </c>
      <c r="B23" s="11" t="s">
        <v>68</v>
      </c>
      <c r="C23" s="11" t="s">
        <v>103</v>
      </c>
      <c r="D23" s="11" t="s">
        <v>70</v>
      </c>
      <c r="E23" s="11" t="n">
        <f aca="false">Regras!$B$10+8</f>
        <v>58</v>
      </c>
      <c r="F23" s="11" t="str">
        <f aca="false">"fb"&amp;TEXT(E23,"000")&amp;"_Modo"</f>
        <v>fb058_Modo</v>
      </c>
      <c r="G23" s="11" t="s">
        <v>152</v>
      </c>
      <c r="H23" s="11" t="s">
        <v>107</v>
      </c>
      <c r="I23" s="11" t="s">
        <v>73</v>
      </c>
      <c r="J23" s="11" t="s">
        <v>73</v>
      </c>
      <c r="K23" s="11" t="s">
        <v>149</v>
      </c>
      <c r="L23" s="11" t="s">
        <v>73</v>
      </c>
      <c r="M23" s="11" t="s">
        <v>7</v>
      </c>
      <c r="N23" s="11" t="s">
        <v>90</v>
      </c>
      <c r="O23" s="11" t="s">
        <v>153</v>
      </c>
      <c r="P23" s="11" t="s">
        <v>154</v>
      </c>
      <c r="Q23" s="11" t="str">
        <f aca="false">IF(E23="","",IF(COUNTIFS($B$7:$B$60,B23,$C$7:$C$60,C23,$E$7:$E$60,E23)&gt;1,"DUPLICADO","ok"))</f>
        <v>ok</v>
      </c>
    </row>
    <row r="24" customFormat="false" ht="15" hidden="false" customHeight="false" outlineLevel="0" collapsed="false">
      <c r="A24" s="11" t="n">
        <v>18</v>
      </c>
      <c r="B24" s="11" t="s">
        <v>68</v>
      </c>
      <c r="C24" s="11" t="s">
        <v>69</v>
      </c>
      <c r="D24" s="11" t="s">
        <v>155</v>
      </c>
      <c r="E24" s="11" t="n">
        <f aca="false">Regras!$B$5+Regras!$B$9+8</f>
        <v>68</v>
      </c>
      <c r="F24" s="11" t="str">
        <f aca="false">"db"&amp;TEXT(E24,"000")&amp;"_BancoTeste2_ModoInst"</f>
        <v>db068_BancoTeste2_ModoInst</v>
      </c>
      <c r="G24" s="11" t="s">
        <v>156</v>
      </c>
      <c r="H24" s="11" t="s">
        <v>107</v>
      </c>
      <c r="I24" s="11" t="s">
        <v>157</v>
      </c>
      <c r="J24" s="11" t="s">
        <v>73</v>
      </c>
      <c r="K24" s="11" t="s">
        <v>149</v>
      </c>
      <c r="L24" s="11" t="s">
        <v>73</v>
      </c>
      <c r="M24" s="11" t="s">
        <v>7</v>
      </c>
      <c r="N24" s="11" t="s">
        <v>90</v>
      </c>
      <c r="O24" s="11" t="s">
        <v>153</v>
      </c>
      <c r="P24" s="11" t="s">
        <v>158</v>
      </c>
      <c r="Q24" s="11" t="str">
        <f aca="false">IF(E24="","",IF(COUNTIFS($B$7:$B$60,B24,$C$7:$C$60,C24,$E$7:$E$60,E24)&gt;1,"DUPLICADO","ok"))</f>
        <v>ok</v>
      </c>
    </row>
    <row r="25" customFormat="false" ht="23.85" hidden="false" customHeight="false" outlineLevel="0" collapsed="false">
      <c r="A25" s="11" t="n">
        <v>19</v>
      </c>
      <c r="B25" s="11" t="s">
        <v>68</v>
      </c>
      <c r="C25" s="11" t="s">
        <v>69</v>
      </c>
      <c r="D25" s="11" t="s">
        <v>159</v>
      </c>
      <c r="E25" s="11" t="n">
        <f aca="false">Bancos!F2</f>
        <v>151</v>
      </c>
      <c r="F25" s="11" t="str">
        <f aca="false">"db"&amp;TEXT(E25,"000")&amp;"_BC56_Status"</f>
        <v>db151_BC56_Status</v>
      </c>
      <c r="G25" s="11" t="s">
        <v>160</v>
      </c>
      <c r="H25" s="11" t="s">
        <v>87</v>
      </c>
      <c r="I25" s="11" t="s">
        <v>73</v>
      </c>
      <c r="J25" s="11" t="s">
        <v>161</v>
      </c>
      <c r="K25" s="11" t="s">
        <v>119</v>
      </c>
      <c r="L25" s="11" t="s">
        <v>73</v>
      </c>
      <c r="M25" s="11" t="s">
        <v>87</v>
      </c>
      <c r="N25" s="11" t="s">
        <v>90</v>
      </c>
      <c r="O25" s="11" t="s">
        <v>162</v>
      </c>
      <c r="P25" s="11" t="s">
        <v>163</v>
      </c>
      <c r="Q25" s="11" t="str">
        <f aca="false">IF(E25="","",IF(COUNTIFS($B$7:$B$60,B25,$C$7:$C$60,C25,$E$7:$E$60,E25)&gt;1,"DUPLICADO","ok"))</f>
        <v>ok</v>
      </c>
    </row>
    <row r="26" customFormat="false" ht="15" hidden="false" customHeight="false" outlineLevel="0" collapsed="false">
      <c r="A26" s="11" t="n">
        <v>20</v>
      </c>
      <c r="B26" s="11" t="s">
        <v>68</v>
      </c>
      <c r="C26" s="11" t="s">
        <v>69</v>
      </c>
      <c r="D26" s="11" t="s">
        <v>164</v>
      </c>
      <c r="E26" s="11" t="n">
        <f aca="false">Bancos!F3</f>
        <v>159</v>
      </c>
      <c r="F26" s="11" t="str">
        <f aca="false">"db"&amp;TEXT(E26,"000")&amp;"_BC400_Status"</f>
        <v>db159_BC400_Status</v>
      </c>
      <c r="G26" s="11" t="s">
        <v>165</v>
      </c>
      <c r="H26" s="11" t="s">
        <v>87</v>
      </c>
      <c r="I26" s="11" t="s">
        <v>73</v>
      </c>
      <c r="J26" s="11" t="s">
        <v>161</v>
      </c>
      <c r="K26" s="11" t="s">
        <v>119</v>
      </c>
      <c r="L26" s="11" t="s">
        <v>73</v>
      </c>
      <c r="M26" s="11" t="s">
        <v>87</v>
      </c>
      <c r="N26" s="11" t="s">
        <v>90</v>
      </c>
      <c r="O26" s="11" t="s">
        <v>162</v>
      </c>
      <c r="P26" s="11"/>
      <c r="Q26" s="11" t="str">
        <f aca="false">IF(E26="","",IF(COUNTIFS($B$7:$B$60,B26,$C$7:$C$60,C26,$E$7:$E$60,E26)&gt;1,"DUPLICADO","ok"))</f>
        <v>ok</v>
      </c>
    </row>
    <row r="27" customFormat="false" ht="23.85" hidden="false" customHeight="false" outlineLevel="0" collapsed="false">
      <c r="A27" s="11" t="n">
        <v>21</v>
      </c>
      <c r="B27" s="11" t="s">
        <v>166</v>
      </c>
      <c r="C27" s="11" t="s">
        <v>69</v>
      </c>
      <c r="D27" s="11" t="s">
        <v>93</v>
      </c>
      <c r="E27" s="12" t="n">
        <v>10</v>
      </c>
      <c r="F27" s="12" t="s">
        <v>167</v>
      </c>
      <c r="G27" s="11" t="s">
        <v>168</v>
      </c>
      <c r="H27" s="11" t="s">
        <v>169</v>
      </c>
      <c r="I27" s="11" t="s">
        <v>73</v>
      </c>
      <c r="J27" s="11" t="s">
        <v>170</v>
      </c>
      <c r="K27" s="11" t="s">
        <v>73</v>
      </c>
      <c r="L27" s="11" t="s">
        <v>73</v>
      </c>
      <c r="M27" s="11" t="s">
        <v>126</v>
      </c>
      <c r="N27" s="11" t="s">
        <v>90</v>
      </c>
      <c r="O27" s="11" t="s">
        <v>171</v>
      </c>
      <c r="P27" s="11" t="s">
        <v>172</v>
      </c>
      <c r="Q27" s="11" t="str">
        <f aca="false">IF(E27="","",IF(COUNTIFS($B$7:$B$60,B27,$C$7:$C$60,C27,$E$7:$E$60,E27)&gt;1,"DUPLICADO","ok"))</f>
        <v>ok</v>
      </c>
    </row>
    <row r="28" customFormat="false" ht="23.85" hidden="false" customHeight="false" outlineLevel="0" collapsed="false">
      <c r="A28" s="11" t="n">
        <v>22</v>
      </c>
      <c r="B28" s="11" t="s">
        <v>166</v>
      </c>
      <c r="C28" s="11" t="s">
        <v>69</v>
      </c>
      <c r="D28" s="11" t="s">
        <v>98</v>
      </c>
      <c r="E28" s="12" t="n">
        <v>11</v>
      </c>
      <c r="F28" s="12" t="s">
        <v>173</v>
      </c>
      <c r="G28" s="11" t="s">
        <v>174</v>
      </c>
      <c r="H28" s="11" t="s">
        <v>169</v>
      </c>
      <c r="I28" s="11" t="s">
        <v>73</v>
      </c>
      <c r="J28" s="11" t="s">
        <v>170</v>
      </c>
      <c r="K28" s="11" t="s">
        <v>73</v>
      </c>
      <c r="L28" s="11" t="s">
        <v>73</v>
      </c>
      <c r="M28" s="11" t="s">
        <v>7</v>
      </c>
      <c r="N28" s="11" t="s">
        <v>90</v>
      </c>
      <c r="O28" s="11" t="s">
        <v>175</v>
      </c>
      <c r="P28" s="11" t="s">
        <v>176</v>
      </c>
      <c r="Q28" s="11" t="str">
        <f aca="false">IF(E28="","",IF(COUNTIFS($B$7:$B$60,B28,$C$7:$C$60,C28,$E$7:$E$60,E28)&gt;1,"DUPLICADO","ok"))</f>
        <v>ok</v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 t="str">
        <f aca="false">IF(E29="","",IF(COUNTIFS($B$7:$B$60,B29,$C$7:$C$60,C29,$E$7:$E$60,E29)&gt;1,"DUPLICADO","ok"))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 t="str">
        <f aca="false">IF(E30="","",IF(COUNTIFS($B$7:$B$60,B30,$C$7:$C$60,C30,$E$7:$E$60,E30)&gt;1,"DUPLICADO","ok"))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 t="str">
        <f aca="false">IF(E31="","",IF(COUNTIFS($B$7:$B$60,B31,$C$7:$C$60,C31,$E$7:$E$60,E31)&gt;1,"DUPLICADO","ok"))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 t="str">
        <f aca="false">IF(E32="","",IF(COUNTIFS($B$7:$B$60,B32,$C$7:$C$60,C32,$E$7:$E$60,E32)&gt;1,"DUPLICADO","ok"))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 t="str">
        <f aca="false">IF(E33="","",IF(COUNTIFS($B$7:$B$60,B33,$C$7:$C$60,C33,$E$7:$E$60,E33)&gt;1,"DUPLICADO","ok"))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 t="str">
        <f aca="false">IF(E34="","",IF(COUNTIFS($B$7:$B$60,B34,$C$7:$C$60,C34,$E$7:$E$60,E34)&gt;1,"DUPLICADO","ok"))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 t="str">
        <f aca="false">IF(E35="","",IF(COUNTIFS($B$7:$B$60,B35,$C$7:$C$60,C35,$E$7:$E$60,E35)&gt;1,"DUPLICADO","ok"))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 t="str">
        <f aca="false">IF(E36="","",IF(COUNTIFS($B$7:$B$60,B36,$C$7:$C$60,C36,$E$7:$E$60,E36)&gt;1,"DUPLICADO","ok"))</f>
        <v/>
      </c>
    </row>
    <row r="38" customFormat="false" ht="15" hidden="false" customHeight="false" outlineLevel="0" collapsed="false">
      <c r="A38" s="3" t="s">
        <v>177</v>
      </c>
    </row>
    <row r="39" customFormat="false" ht="15" hidden="false" customHeight="false" outlineLevel="0" collapsed="false">
      <c r="B39" s="13" t="s">
        <v>77</v>
      </c>
      <c r="C39" s="13" t="n">
        <f aca="false">COUNTIF($M$7:$M$36,B39)</f>
        <v>8</v>
      </c>
    </row>
    <row r="40" customFormat="false" ht="15" hidden="false" customHeight="false" outlineLevel="0" collapsed="false">
      <c r="B40" s="13" t="s">
        <v>126</v>
      </c>
      <c r="C40" s="13" t="n">
        <f aca="false">COUNTIF($M$7:$M$36,B40)</f>
        <v>5</v>
      </c>
    </row>
    <row r="41" customFormat="false" ht="15" hidden="false" customHeight="false" outlineLevel="0" collapsed="false">
      <c r="B41" s="13" t="s">
        <v>7</v>
      </c>
      <c r="C41" s="13" t="n">
        <f aca="false">COUNTIF($M$7:$M$36,B41)</f>
        <v>7</v>
      </c>
    </row>
    <row r="42" customFormat="false" ht="15" hidden="false" customHeight="false" outlineLevel="0" collapsed="false">
      <c r="B42" s="13" t="s">
        <v>87</v>
      </c>
      <c r="C42" s="13" t="n">
        <f aca="false">COUNTIF($M$7:$M$36,B42)</f>
        <v>2</v>
      </c>
    </row>
    <row r="43" customFormat="false" ht="15" hidden="false" customHeight="false" outlineLevel="0" collapsed="false">
      <c r="B43" s="13" t="s">
        <v>178</v>
      </c>
      <c r="C43" s="13" t="n">
        <f aca="false">COUNTIF($M$7:$M$36,B43)</f>
        <v>0</v>
      </c>
    </row>
  </sheetData>
  <mergeCells count="4">
    <mergeCell ref="A1:Q1"/>
    <mergeCell ref="A2:Q2"/>
    <mergeCell ref="A3:Q3"/>
    <mergeCell ref="A4:Q4"/>
  </mergeCells>
  <conditionalFormatting sqref="A7:Q36">
    <cfRule type="expression" priority="2" aboveAverage="0" equalAverage="0" bottom="0" percent="0" rank="0" text="" dxfId="0">
      <formula>$M7="existe"</formula>
    </cfRule>
    <cfRule type="expression" priority="3" aboveAverage="0" equalAverage="0" bottom="0" percent="0" rank="0" text="" dxfId="1">
      <formula>OR(LEFT($M7,8)="aprovado",$M7="proposto")</formula>
    </cfRule>
    <cfRule type="expression" priority="4" aboveAverage="0" equalAverage="0" bottom="0" percent="0" rank="0" text="" dxfId="2">
      <formula>OR($M7="a definir",$M7="reserva")</formula>
    </cfRule>
  </conditionalFormatting>
  <conditionalFormatting sqref="Q7:Q36">
    <cfRule type="expression" priority="5" aboveAverage="0" equalAverage="0" bottom="0" percent="0" rank="0" text="" dxfId="3">
      <formula>$Q7="DUPLICADO"</formula>
    </cfRule>
  </conditionalFormatting>
  <dataValidations count="3">
    <dataValidation allowBlank="true" errorStyle="stop" operator="between" showDropDown="false" showErrorMessage="false" showInputMessage="false" sqref="M7:M36" type="list">
      <formula1>"existe,aprovado - a criar,proposto,a definir,reserva"</formula1>
      <formula2>0</formula2>
    </dataValidation>
    <dataValidation allowBlank="true" errorStyle="stop" operator="between" showDropDown="false" showErrorMessage="false" showInputMessage="false" sqref="N7:N36" type="list">
      <formula1>"Sim,Não"</formula1>
      <formula2>0</formula2>
    </dataValidation>
    <dataValidation allowBlank="true" errorStyle="stop" operator="between" showDropDown="false" showErrorMessage="false" showInputMessage="false" sqref="C7:C36" type="list">
      <formula1>"DB,FB,FC,OB"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4" min="4" style="0" width="34"/>
    <col collapsed="false" customWidth="true" hidden="false" outlineLevel="0" max="5" min="5" style="0" width="70"/>
  </cols>
  <sheetData>
    <row r="1" customFormat="false" ht="14.25" hidden="false" customHeight="false" outlineLevel="0" collapsed="false">
      <c r="A1" s="10" t="s">
        <v>53</v>
      </c>
      <c r="B1" s="10" t="s">
        <v>179</v>
      </c>
      <c r="C1" s="10" t="s">
        <v>180</v>
      </c>
      <c r="D1" s="10" t="s">
        <v>54</v>
      </c>
      <c r="E1" s="10" t="s">
        <v>66</v>
      </c>
    </row>
    <row r="2" customFormat="false" ht="14.25" hidden="false" customHeight="false" outlineLevel="0" collapsed="false">
      <c r="A2" s="11" t="s">
        <v>69</v>
      </c>
      <c r="B2" s="11" t="s">
        <v>181</v>
      </c>
      <c r="C2" s="11" t="s">
        <v>182</v>
      </c>
      <c r="D2" s="11" t="s">
        <v>183</v>
      </c>
      <c r="E2" s="11" t="s">
        <v>184</v>
      </c>
    </row>
    <row r="3" customFormat="false" ht="14.25" hidden="false" customHeight="false" outlineLevel="0" collapsed="false">
      <c r="A3" s="11" t="s">
        <v>69</v>
      </c>
      <c r="B3" s="11" t="n">
        <f aca="false">Regras!$B$5</f>
        <v>50</v>
      </c>
      <c r="C3" s="11" t="n">
        <f aca="false">Regras!$B$6-1</f>
        <v>99</v>
      </c>
      <c r="D3" s="11" t="s">
        <v>70</v>
      </c>
      <c r="E3" s="11" t="s">
        <v>185</v>
      </c>
    </row>
    <row r="4" customFormat="false" ht="14.25" hidden="false" customHeight="false" outlineLevel="0" collapsed="false">
      <c r="A4" s="11" t="s">
        <v>69</v>
      </c>
      <c r="B4" s="11" t="n">
        <f aca="false">Regras!$B$6</f>
        <v>100</v>
      </c>
      <c r="C4" s="11" t="n">
        <f aca="false">Regras!$B$7-1</f>
        <v>149</v>
      </c>
      <c r="D4" s="11" t="s">
        <v>186</v>
      </c>
      <c r="E4" s="11" t="s">
        <v>187</v>
      </c>
    </row>
    <row r="5" customFormat="false" ht="14.25" hidden="false" customHeight="false" outlineLevel="0" collapsed="false">
      <c r="A5" s="11" t="s">
        <v>69</v>
      </c>
      <c r="B5" s="11" t="n">
        <f aca="false">Regras!$B$7</f>
        <v>150</v>
      </c>
      <c r="C5" s="11" t="n">
        <f aca="false">Regras!$B$7+6*Regras!$B$8-1</f>
        <v>197</v>
      </c>
      <c r="D5" s="11" t="s">
        <v>188</v>
      </c>
      <c r="E5" s="11" t="s">
        <v>189</v>
      </c>
    </row>
    <row r="6" customFormat="false" ht="14.25" hidden="false" customHeight="false" outlineLevel="0" collapsed="false">
      <c r="A6" s="11" t="s">
        <v>69</v>
      </c>
      <c r="B6" s="11" t="n">
        <f aca="false">Regras!$B$7+6*Regras!$B$8</f>
        <v>198</v>
      </c>
      <c r="C6" s="11" t="s">
        <v>190</v>
      </c>
      <c r="D6" s="11" t="s">
        <v>178</v>
      </c>
      <c r="E6" s="11"/>
    </row>
    <row r="7" customFormat="false" ht="14.25" hidden="false" customHeight="false" outlineLevel="0" collapsed="false">
      <c r="A7" s="11" t="s">
        <v>69</v>
      </c>
      <c r="B7" s="11" t="s">
        <v>191</v>
      </c>
      <c r="C7" s="11" t="s">
        <v>192</v>
      </c>
      <c r="D7" s="11" t="s">
        <v>193</v>
      </c>
      <c r="E7" s="11" t="s">
        <v>194</v>
      </c>
    </row>
    <row r="8" customFormat="false" ht="14.25" hidden="false" customHeight="false" outlineLevel="0" collapsed="false">
      <c r="A8" s="11" t="s">
        <v>195</v>
      </c>
      <c r="B8" s="11" t="s">
        <v>181</v>
      </c>
      <c r="C8" s="11" t="s">
        <v>182</v>
      </c>
      <c r="D8" s="11" t="s">
        <v>196</v>
      </c>
      <c r="E8" s="11" t="s">
        <v>197</v>
      </c>
    </row>
    <row r="9" customFormat="false" ht="14.25" hidden="false" customHeight="false" outlineLevel="0" collapsed="false">
      <c r="A9" s="11" t="s">
        <v>195</v>
      </c>
      <c r="B9" s="11" t="n">
        <f aca="false">Regras!$B$10</f>
        <v>50</v>
      </c>
      <c r="C9" s="11" t="n">
        <f aca="false">Regras!$B$11-1</f>
        <v>99</v>
      </c>
      <c r="D9" s="11" t="s">
        <v>198</v>
      </c>
      <c r="E9" s="11" t="s">
        <v>199</v>
      </c>
    </row>
    <row r="10" customFormat="false" ht="14.25" hidden="false" customHeight="false" outlineLevel="0" collapsed="false">
      <c r="A10" s="11" t="s">
        <v>195</v>
      </c>
      <c r="B10" s="11" t="n">
        <f aca="false">Regras!$B$11</f>
        <v>100</v>
      </c>
      <c r="C10" s="11" t="s">
        <v>200</v>
      </c>
      <c r="D10" s="11" t="s">
        <v>201</v>
      </c>
      <c r="E10" s="11" t="s">
        <v>202</v>
      </c>
    </row>
    <row r="11" customFormat="false" ht="14.25" hidden="false" customHeight="false" outlineLevel="0" collapsed="false">
      <c r="A11" s="11" t="s">
        <v>195</v>
      </c>
      <c r="B11" s="11" t="s">
        <v>203</v>
      </c>
      <c r="C11" s="11" t="s">
        <v>190</v>
      </c>
      <c r="D11" s="11" t="s">
        <v>178</v>
      </c>
      <c r="E11" s="11"/>
    </row>
    <row r="12" customFormat="false" ht="14.25" hidden="false" customHeight="false" outlineLevel="0" collapsed="false">
      <c r="A12" s="11" t="s">
        <v>195</v>
      </c>
      <c r="B12" s="11" t="s">
        <v>191</v>
      </c>
      <c r="C12" s="11" t="s">
        <v>192</v>
      </c>
      <c r="D12" s="11" t="s">
        <v>204</v>
      </c>
      <c r="E12" s="11"/>
    </row>
    <row r="13" customFormat="false" ht="14.25" hidden="false" customHeight="false" outlineLevel="0" collapsed="false">
      <c r="A13" s="11" t="s">
        <v>205</v>
      </c>
      <c r="B13" s="11" t="s">
        <v>181</v>
      </c>
      <c r="C13" s="11" t="s">
        <v>181</v>
      </c>
      <c r="D13" s="11" t="s">
        <v>206</v>
      </c>
      <c r="E13" s="11" t="s">
        <v>207</v>
      </c>
    </row>
    <row r="14" customFormat="false" ht="14.25" hidden="false" customHeight="false" outlineLevel="0" collapsed="false">
      <c r="A14" s="11" t="s">
        <v>205</v>
      </c>
      <c r="B14" s="11" t="s">
        <v>208</v>
      </c>
      <c r="C14" s="11" t="s">
        <v>208</v>
      </c>
      <c r="D14" s="11" t="s">
        <v>209</v>
      </c>
      <c r="E14" s="11"/>
    </row>
    <row r="15" customFormat="false" ht="14.25" hidden="false" customHeight="false" outlineLevel="0" collapsed="false">
      <c r="A15" s="11" t="s">
        <v>205</v>
      </c>
      <c r="B15" s="11" t="s">
        <v>210</v>
      </c>
      <c r="C15" s="11" t="s">
        <v>211</v>
      </c>
      <c r="D15" s="11" t="s">
        <v>212</v>
      </c>
      <c r="E15" s="11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8" activeCellId="0" sqref="E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44"/>
    <col collapsed="false" customWidth="true" hidden="false" outlineLevel="0" max="4" min="4" style="0" width="9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.22"/>
    <col collapsed="false" customWidth="true" hidden="false" outlineLevel="0" max="9" min="9" style="0" width="9"/>
    <col collapsed="false" customWidth="true" hidden="false" outlineLevel="0" max="10" min="10" style="0" width="32"/>
    <col collapsed="false" customWidth="true" hidden="false" outlineLevel="0" max="12" min="11" style="0" width="12"/>
    <col collapsed="false" customWidth="true" hidden="false" outlineLevel="0" max="13" min="13" style="0" width="9"/>
  </cols>
  <sheetData>
    <row r="1" customFormat="false" ht="26.25" hidden="false" customHeight="true" outlineLevel="0" collapsed="false">
      <c r="A1" s="10" t="s">
        <v>214</v>
      </c>
      <c r="B1" s="10" t="s">
        <v>215</v>
      </c>
      <c r="C1" s="10" t="s">
        <v>216</v>
      </c>
      <c r="D1" s="10" t="s">
        <v>217</v>
      </c>
      <c r="E1" s="10" t="s">
        <v>218</v>
      </c>
      <c r="F1" s="10" t="s">
        <v>219</v>
      </c>
      <c r="G1" s="10" t="s">
        <v>220</v>
      </c>
      <c r="I1" s="10" t="s">
        <v>221</v>
      </c>
      <c r="J1" s="10" t="s">
        <v>222</v>
      </c>
      <c r="K1" s="10" t="s">
        <v>223</v>
      </c>
      <c r="L1" s="10" t="s">
        <v>224</v>
      </c>
      <c r="M1" s="10" t="s">
        <v>53</v>
      </c>
    </row>
    <row r="2" customFormat="false" ht="14.25" hidden="false" customHeight="false" outlineLevel="0" collapsed="false">
      <c r="A2" s="14" t="n">
        <v>0</v>
      </c>
      <c r="B2" s="14" t="s">
        <v>178</v>
      </c>
      <c r="C2" s="14"/>
      <c r="D2" s="14" t="n">
        <f aca="false">Regras!$B$5+A2</f>
        <v>50</v>
      </c>
      <c r="E2" s="14"/>
      <c r="F2" s="14"/>
      <c r="G2" s="14"/>
      <c r="I2" s="14" t="n">
        <f aca="false">Regras!$B$6+A2</f>
        <v>100</v>
      </c>
      <c r="J2" s="14"/>
      <c r="K2" s="14"/>
      <c r="L2" s="14"/>
      <c r="M2" s="14" t="s">
        <v>225</v>
      </c>
    </row>
    <row r="3" customFormat="false" ht="14.25" hidden="false" customHeight="false" outlineLevel="0" collapsed="false">
      <c r="A3" s="14" t="n">
        <v>1</v>
      </c>
      <c r="B3" s="14" t="s">
        <v>178</v>
      </c>
      <c r="C3" s="14"/>
      <c r="D3" s="14" t="n">
        <f aca="false">Regras!$B$5+A3</f>
        <v>51</v>
      </c>
      <c r="E3" s="14"/>
      <c r="F3" s="14"/>
      <c r="G3" s="14"/>
      <c r="I3" s="14" t="n">
        <f aca="false">Regras!$B$6+A3</f>
        <v>101</v>
      </c>
      <c r="J3" s="14"/>
      <c r="K3" s="14"/>
      <c r="L3" s="14"/>
      <c r="M3" s="14" t="s">
        <v>225</v>
      </c>
    </row>
    <row r="4" customFormat="false" ht="14.25" hidden="false" customHeight="false" outlineLevel="0" collapsed="false">
      <c r="A4" s="15" t="n">
        <v>2</v>
      </c>
      <c r="B4" s="15" t="s">
        <v>226</v>
      </c>
      <c r="C4" s="15" t="s">
        <v>227</v>
      </c>
      <c r="D4" s="15" t="n">
        <f aca="false">Regras!$B$5+A4</f>
        <v>52</v>
      </c>
      <c r="E4" s="15" t="str">
        <f aca="false">"db"&amp;TEXT(D4,"000")&amp;"_BancoTeste2_Dse"</f>
        <v>db052_BancoTeste2_Dse</v>
      </c>
      <c r="F4" s="15" t="n">
        <f aca="false">Regras!$B$10+A4</f>
        <v>52</v>
      </c>
      <c r="G4" s="15" t="n">
        <f aca="false">Regras!$B$5+Regras!$B$9+A4</f>
        <v>62</v>
      </c>
      <c r="I4" s="15" t="n">
        <f aca="false">Regras!$B$6+A4</f>
        <v>102</v>
      </c>
      <c r="J4" s="15" t="str">
        <f aca="false">"db"&amp;TEXT(I4,"000")&amp;"_BancoTeste1_Dse"</f>
        <v>db102_BancoTeste1_Dse</v>
      </c>
      <c r="K4" s="15"/>
      <c r="L4" s="15" t="n">
        <f aca="false">Regras!$B$6+Regras!$B$9+A4</f>
        <v>112</v>
      </c>
      <c r="M4" s="15" t="s">
        <v>228</v>
      </c>
    </row>
    <row r="5" customFormat="false" ht="26.25" hidden="false" customHeight="true" outlineLevel="0" collapsed="false">
      <c r="A5" s="15" t="n">
        <v>3</v>
      </c>
      <c r="B5" s="15" t="s">
        <v>229</v>
      </c>
      <c r="C5" s="15" t="s">
        <v>230</v>
      </c>
      <c r="D5" s="15" t="n">
        <f aca="false">Regras!$B$5+A5</f>
        <v>53</v>
      </c>
      <c r="E5" s="15" t="str">
        <f aca="false">"db"&amp;TEXT(D5,"000")&amp;"_BancoTeste2_SnapManual"</f>
        <v>db053_BancoTeste2_SnapManual</v>
      </c>
      <c r="F5" s="15" t="n">
        <f aca="false">Regras!$B$10+A5</f>
        <v>53</v>
      </c>
      <c r="G5" s="15" t="n">
        <f aca="false">Regras!$B$5+Regras!$B$9+A5</f>
        <v>63</v>
      </c>
      <c r="I5" s="15" t="n">
        <f aca="false">Regras!$B$6+A5</f>
        <v>103</v>
      </c>
      <c r="J5" s="15" t="str">
        <f aca="false">"db"&amp;TEXT(I5,"000")&amp;"_BancoTeste1_SnapManual"</f>
        <v>db103_BancoTeste1_SnapManual</v>
      </c>
      <c r="K5" s="15"/>
      <c r="L5" s="15" t="n">
        <f aca="false">Regras!$B$6+Regras!$B$9+A5</f>
        <v>113</v>
      </c>
      <c r="M5" s="15" t="s">
        <v>228</v>
      </c>
    </row>
    <row r="6" customFormat="false" ht="14.25" hidden="false" customHeight="false" outlineLevel="0" collapsed="false">
      <c r="A6" s="16" t="n">
        <v>4</v>
      </c>
      <c r="B6" s="16" t="s">
        <v>231</v>
      </c>
      <c r="C6" s="16" t="s">
        <v>232</v>
      </c>
      <c r="D6" s="16" t="n">
        <f aca="false">Regras!$B$5+A6</f>
        <v>54</v>
      </c>
      <c r="E6" s="16" t="str">
        <f aca="false">"db"&amp;TEXT(D6,"000")&amp;"_BancoTeste2_Parametros"</f>
        <v>db054_BancoTeste2_Parametros</v>
      </c>
      <c r="F6" s="16" t="n">
        <f aca="false">Regras!$B$10+A6</f>
        <v>54</v>
      </c>
      <c r="G6" s="16" t="n">
        <f aca="false">Regras!$B$5+Regras!$B$9+A6</f>
        <v>64</v>
      </c>
      <c r="I6" s="16" t="n">
        <f aca="false">Regras!$B$6+A6</f>
        <v>104</v>
      </c>
      <c r="J6" s="16" t="str">
        <f aca="false">"db"&amp;TEXT(I6,"000")&amp;"_BancoTeste1_Parametros"</f>
        <v>db104_BancoTeste1_Parametros</v>
      </c>
      <c r="K6" s="16"/>
      <c r="L6" s="16" t="n">
        <f aca="false">Regras!$B$6+Regras!$B$9+A6</f>
        <v>114</v>
      </c>
      <c r="M6" s="16" t="s">
        <v>233</v>
      </c>
    </row>
    <row r="7" customFormat="false" ht="14.25" hidden="false" customHeight="false" outlineLevel="0" collapsed="false">
      <c r="A7" s="14" t="n">
        <v>5</v>
      </c>
      <c r="B7" s="14" t="s">
        <v>234</v>
      </c>
      <c r="C7" s="14"/>
      <c r="D7" s="14" t="n">
        <f aca="false">Regras!$B$5+A7</f>
        <v>55</v>
      </c>
      <c r="E7" s="14"/>
      <c r="F7" s="14"/>
      <c r="G7" s="14"/>
      <c r="I7" s="14" t="n">
        <f aca="false">Regras!$B$6+A7</f>
        <v>105</v>
      </c>
      <c r="J7" s="14"/>
      <c r="K7" s="14"/>
      <c r="L7" s="14"/>
      <c r="M7" s="14" t="s">
        <v>225</v>
      </c>
    </row>
    <row r="8" customFormat="false" ht="14.25" hidden="false" customHeight="false" outlineLevel="0" collapsed="false">
      <c r="A8" s="16" t="n">
        <v>6</v>
      </c>
      <c r="B8" s="16" t="s">
        <v>235</v>
      </c>
      <c r="C8" s="16" t="s">
        <v>236</v>
      </c>
      <c r="D8" s="16" t="n">
        <f aca="false">Regras!$B$5+A8</f>
        <v>56</v>
      </c>
      <c r="E8" s="16" t="str">
        <f aca="false">"db"&amp;TEXT(D8,"000")&amp;"_BancoTeste2_Etapas"</f>
        <v>db056_BancoTeste2_Etapas</v>
      </c>
      <c r="F8" s="16" t="n">
        <f aca="false">Regras!$B$10+A8</f>
        <v>56</v>
      </c>
      <c r="G8" s="16" t="n">
        <f aca="false">Regras!$B$5+Regras!$B$9+A8</f>
        <v>66</v>
      </c>
      <c r="I8" s="16" t="n">
        <f aca="false">Regras!$B$6+A8</f>
        <v>106</v>
      </c>
      <c r="J8" s="16" t="str">
        <f aca="false">"db"&amp;TEXT(I8,"000")&amp;"_BancoTeste1_Etapas"</f>
        <v>db106_BancoTeste1_Etapas</v>
      </c>
      <c r="K8" s="16"/>
      <c r="L8" s="16" t="n">
        <f aca="false">Regras!$B$6+Regras!$B$9+A8</f>
        <v>116</v>
      </c>
      <c r="M8" s="16" t="s">
        <v>233</v>
      </c>
    </row>
    <row r="9" customFormat="false" ht="14.25" hidden="false" customHeight="false" outlineLevel="0" collapsed="false">
      <c r="A9" s="16" t="n">
        <v>7</v>
      </c>
      <c r="B9" s="16" t="s">
        <v>237</v>
      </c>
      <c r="C9" s="16" t="s">
        <v>238</v>
      </c>
      <c r="D9" s="16" t="n">
        <f aca="false">Regras!$B$5+A9</f>
        <v>57</v>
      </c>
      <c r="E9" s="16" t="str">
        <f aca="false">"db"&amp;TEXT(D9,"000")&amp;"_BancoTeste2_DadosEnsaio"</f>
        <v>db057_BancoTeste2_DadosEnsaio</v>
      </c>
      <c r="F9" s="16" t="n">
        <f aca="false">Regras!$B$10+A9</f>
        <v>57</v>
      </c>
      <c r="G9" s="16" t="n">
        <f aca="false">Regras!$B$5+Regras!$B$9+A9</f>
        <v>67</v>
      </c>
      <c r="I9" s="16" t="n">
        <f aca="false">Regras!$B$6+A9</f>
        <v>107</v>
      </c>
      <c r="J9" s="16" t="str">
        <f aca="false">"db"&amp;TEXT(I9,"000")&amp;"_BancoTeste1_DadosEnsaio"</f>
        <v>db107_BancoTeste1_DadosEnsaio</v>
      </c>
      <c r="K9" s="16"/>
      <c r="L9" s="16" t="n">
        <f aca="false">Regras!$B$6+Regras!$B$9+A9</f>
        <v>117</v>
      </c>
      <c r="M9" s="16" t="s">
        <v>233</v>
      </c>
    </row>
    <row r="10" customFormat="false" ht="26.25" hidden="false" customHeight="true" outlineLevel="0" collapsed="false">
      <c r="A10" s="16" t="n">
        <v>8</v>
      </c>
      <c r="B10" s="16" t="s">
        <v>239</v>
      </c>
      <c r="C10" s="16" t="s">
        <v>236</v>
      </c>
      <c r="D10" s="16" t="n">
        <f aca="false">Regras!$B$5+A10</f>
        <v>58</v>
      </c>
      <c r="E10" s="16" t="str">
        <f aca="false">"db"&amp;TEXT(D10,"000")&amp;"_BancoTeste2_Modo"</f>
        <v>db058_BancoTeste2_Modo</v>
      </c>
      <c r="F10" s="16" t="n">
        <f aca="false">Regras!$B$10+A10</f>
        <v>58</v>
      </c>
      <c r="G10" s="16" t="n">
        <f aca="false">Regras!$B$5+Regras!$B$9+A10</f>
        <v>68</v>
      </c>
      <c r="I10" s="16" t="n">
        <f aca="false">Regras!$B$6+A10</f>
        <v>108</v>
      </c>
      <c r="J10" s="16" t="str">
        <f aca="false">"db"&amp;TEXT(I10,"000")&amp;"_BancoTeste1_Modo"</f>
        <v>db108_BancoTeste1_Modo</v>
      </c>
      <c r="K10" s="16"/>
      <c r="L10" s="16" t="n">
        <f aca="false">Regras!$B$6+Regras!$B$9+A10</f>
        <v>118</v>
      </c>
      <c r="M10" s="16" t="s">
        <v>233</v>
      </c>
    </row>
    <row r="11" customFormat="false" ht="14.25" hidden="false" customHeight="false" outlineLevel="0" collapsed="false">
      <c r="A11" s="14" t="n">
        <v>9</v>
      </c>
      <c r="B11" s="14" t="s">
        <v>178</v>
      </c>
      <c r="C11" s="14"/>
      <c r="D11" s="14" t="n">
        <f aca="false">Regras!$B$5+A11</f>
        <v>59</v>
      </c>
      <c r="E11" s="14"/>
      <c r="F11" s="14"/>
      <c r="G11" s="14"/>
      <c r="I11" s="14" t="n">
        <f aca="false">Regras!$B$6+A11</f>
        <v>109</v>
      </c>
      <c r="J11" s="14"/>
      <c r="K11" s="14"/>
      <c r="L11" s="14"/>
      <c r="M11" s="14" t="s">
        <v>225</v>
      </c>
    </row>
    <row r="13" customFormat="false" ht="14.25" hidden="false" customHeight="false" outlineLevel="0" collapsed="false">
      <c r="A13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2" activeCellId="0" sqref="I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34"/>
    <col collapsed="false" customWidth="true" hidden="false" outlineLevel="0" max="10" min="10" style="0" width="40"/>
  </cols>
  <sheetData>
    <row r="1" customFormat="false" ht="26.25" hidden="false" customHeight="true" outlineLevel="0" collapsed="false">
      <c r="A1" s="10" t="s">
        <v>241</v>
      </c>
      <c r="B1" s="10" t="s">
        <v>242</v>
      </c>
      <c r="C1" s="10" t="s">
        <v>243</v>
      </c>
      <c r="D1" s="10" t="s">
        <v>244</v>
      </c>
      <c r="E1" s="10" t="s">
        <v>245</v>
      </c>
      <c r="F1" s="10" t="s">
        <v>246</v>
      </c>
      <c r="G1" s="10" t="s">
        <v>247</v>
      </c>
      <c r="H1" s="10" t="s">
        <v>248</v>
      </c>
      <c r="I1" s="10" t="s">
        <v>249</v>
      </c>
      <c r="J1" s="10" t="s">
        <v>250</v>
      </c>
    </row>
    <row r="2" customFormat="false" ht="26.25" hidden="false" customHeight="true" outlineLevel="0" collapsed="false">
      <c r="A2" s="15" t="s">
        <v>93</v>
      </c>
      <c r="B2" s="15" t="s">
        <v>251</v>
      </c>
      <c r="C2" s="15" t="n">
        <v>1</v>
      </c>
      <c r="D2" s="15" t="n">
        <f aca="false">Regras!$B$7+Regras!$B$8*(C2-1)</f>
        <v>150</v>
      </c>
      <c r="E2" s="15" t="n">
        <f aca="false">D2</f>
        <v>150</v>
      </c>
      <c r="F2" s="15" t="n">
        <f aca="false">D2+1</f>
        <v>151</v>
      </c>
      <c r="G2" s="15" t="n">
        <f aca="false">D2+4</f>
        <v>154</v>
      </c>
      <c r="H2" s="15" t="str">
        <f aca="false">"db"&amp;TEXT(E2,"000")&amp;"_BC56_Chaves"</f>
        <v>db150_BC56_Chaves</v>
      </c>
      <c r="I2" s="15" t="str">
        <f aca="false">"db"&amp;TEXT(G2,"000")&amp;"_BC56_SetupChaves"</f>
        <v>db154_BC56_SetupChaves</v>
      </c>
      <c r="J2" s="15" t="s">
        <v>252</v>
      </c>
    </row>
    <row r="3" customFormat="false" ht="14.25" hidden="false" customHeight="false" outlineLevel="0" collapsed="false">
      <c r="A3" s="15" t="s">
        <v>98</v>
      </c>
      <c r="B3" s="15" t="s">
        <v>253</v>
      </c>
      <c r="C3" s="15" t="n">
        <v>2</v>
      </c>
      <c r="D3" s="15" t="n">
        <f aca="false">Regras!$B$7+Regras!$B$8*(C3-1)</f>
        <v>158</v>
      </c>
      <c r="E3" s="15" t="n">
        <f aca="false">D3</f>
        <v>158</v>
      </c>
      <c r="F3" s="15" t="n">
        <f aca="false">D3+1</f>
        <v>159</v>
      </c>
      <c r="G3" s="15" t="n">
        <f aca="false">D3+4</f>
        <v>162</v>
      </c>
      <c r="H3" s="15" t="str">
        <f aca="false">"db"&amp;TEXT(E3,"000")&amp;"_BC400_Chaves"</f>
        <v>db158_BC400_Chaves</v>
      </c>
      <c r="I3" s="15" t="str">
        <f aca="false">"db"&amp;TEXT(G3,"000")&amp;"_BC400_SetupChaves"</f>
        <v>db162_BC400_SetupChaves</v>
      </c>
      <c r="J3" s="15" t="s">
        <v>254</v>
      </c>
    </row>
    <row r="4" customFormat="false" ht="14.25" hidden="false" customHeight="false" outlineLevel="0" collapsed="false">
      <c r="A4" s="14" t="s">
        <v>255</v>
      </c>
      <c r="B4" s="14"/>
      <c r="C4" s="14" t="n">
        <v>3</v>
      </c>
      <c r="D4" s="14" t="n">
        <f aca="false">Regras!$B$7+Regras!$B$8*(C4-1)</f>
        <v>166</v>
      </c>
      <c r="E4" s="14" t="n">
        <f aca="false">D4</f>
        <v>166</v>
      </c>
      <c r="F4" s="14" t="n">
        <f aca="false">D4+1</f>
        <v>167</v>
      </c>
      <c r="G4" s="14" t="n">
        <f aca="false">D4+4</f>
        <v>170</v>
      </c>
      <c r="H4" s="14"/>
      <c r="I4" s="14"/>
      <c r="J4" s="14"/>
    </row>
    <row r="5" customFormat="false" ht="14.25" hidden="false" customHeight="false" outlineLevel="0" collapsed="false">
      <c r="A5" s="14" t="s">
        <v>256</v>
      </c>
      <c r="B5" s="14"/>
      <c r="C5" s="14" t="n">
        <v>4</v>
      </c>
      <c r="D5" s="14" t="n">
        <f aca="false">Regras!$B$7+Regras!$B$8*(C5-1)</f>
        <v>174</v>
      </c>
      <c r="E5" s="14" t="n">
        <f aca="false">D5</f>
        <v>174</v>
      </c>
      <c r="F5" s="14" t="n">
        <f aca="false">D5+1</f>
        <v>175</v>
      </c>
      <c r="G5" s="14" t="n">
        <f aca="false">D5+4</f>
        <v>178</v>
      </c>
      <c r="H5" s="14"/>
      <c r="I5" s="14"/>
      <c r="J5" s="14"/>
    </row>
    <row r="6" customFormat="false" ht="14.25" hidden="false" customHeight="false" outlineLevel="0" collapsed="false">
      <c r="A6" s="14" t="s">
        <v>257</v>
      </c>
      <c r="B6" s="14"/>
      <c r="C6" s="14" t="n">
        <v>5</v>
      </c>
      <c r="D6" s="14" t="n">
        <f aca="false">Regras!$B$7+Regras!$B$8*(C6-1)</f>
        <v>182</v>
      </c>
      <c r="E6" s="14" t="n">
        <f aca="false">D6</f>
        <v>182</v>
      </c>
      <c r="F6" s="14" t="n">
        <f aca="false">D6+1</f>
        <v>183</v>
      </c>
      <c r="G6" s="14" t="n">
        <f aca="false">D6+4</f>
        <v>186</v>
      </c>
      <c r="H6" s="14"/>
      <c r="I6" s="14"/>
      <c r="J6" s="14"/>
    </row>
    <row r="7" customFormat="false" ht="14.25" hidden="false" customHeight="false" outlineLevel="0" collapsed="false">
      <c r="A7" s="14" t="s">
        <v>258</v>
      </c>
      <c r="B7" s="14"/>
      <c r="C7" s="14" t="n">
        <v>6</v>
      </c>
      <c r="D7" s="14" t="n">
        <f aca="false">Regras!$B$7+Regras!$B$8*(C7-1)</f>
        <v>190</v>
      </c>
      <c r="E7" s="14" t="n">
        <f aca="false">D7</f>
        <v>190</v>
      </c>
      <c r="F7" s="14" t="n">
        <f aca="false">D7+1</f>
        <v>191</v>
      </c>
      <c r="G7" s="14" t="n">
        <f aca="false">D7+4</f>
        <v>194</v>
      </c>
      <c r="H7" s="14"/>
      <c r="I7" s="14"/>
      <c r="J7" s="14"/>
    </row>
    <row r="9" customFormat="false" ht="14.25" hidden="false" customHeight="false" outlineLevel="0" collapsed="false">
      <c r="A9" s="2" t="s">
        <v>259</v>
      </c>
    </row>
    <row r="10" customFormat="false" ht="14.25" hidden="false" customHeight="false" outlineLevel="0" collapsed="false">
      <c r="A10" s="2" t="s">
        <v>260</v>
      </c>
    </row>
    <row r="11" customFormat="false" ht="14.25" hidden="false" customHeight="false" outlineLevel="0" collapsed="false">
      <c r="A11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52"/>
    <col collapsed="false" customWidth="true" hidden="false" outlineLevel="0" max="4" min="4" style="0" width="36"/>
  </cols>
  <sheetData>
    <row r="1" customFormat="false" ht="14.25" hidden="false" customHeight="false" outlineLevel="0" collapsed="false">
      <c r="A1" s="10" t="s">
        <v>61</v>
      </c>
      <c r="B1" s="10" t="s">
        <v>262</v>
      </c>
      <c r="C1" s="10" t="s">
        <v>263</v>
      </c>
      <c r="D1" s="10" t="s">
        <v>264</v>
      </c>
    </row>
    <row r="2" customFormat="false" ht="14.25" hidden="false" customHeight="false" outlineLevel="0" collapsed="false">
      <c r="A2" s="11" t="s">
        <v>265</v>
      </c>
      <c r="B2" s="11" t="s">
        <v>266</v>
      </c>
      <c r="C2" s="11" t="s">
        <v>267</v>
      </c>
      <c r="D2" s="11" t="s">
        <v>268</v>
      </c>
    </row>
    <row r="3" customFormat="false" ht="26.25" hidden="false" customHeight="true" outlineLevel="0" collapsed="false">
      <c r="A3" s="11" t="s">
        <v>269</v>
      </c>
      <c r="B3" s="11" t="s">
        <v>270</v>
      </c>
      <c r="C3" s="11" t="s">
        <v>271</v>
      </c>
      <c r="D3" s="11" t="s">
        <v>272</v>
      </c>
    </row>
    <row r="4" customFormat="false" ht="14.25" hidden="false" customHeight="false" outlineLevel="0" collapsed="false">
      <c r="A4" s="11" t="s">
        <v>273</v>
      </c>
      <c r="B4" s="11" t="s">
        <v>274</v>
      </c>
      <c r="C4" s="11" t="s">
        <v>73</v>
      </c>
      <c r="D4" s="11" t="s">
        <v>275</v>
      </c>
    </row>
    <row r="5" customFormat="false" ht="26.25" hidden="false" customHeight="true" outlineLevel="0" collapsed="false">
      <c r="A5" s="11" t="s">
        <v>75</v>
      </c>
      <c r="B5" s="11" t="s">
        <v>276</v>
      </c>
      <c r="C5" s="11" t="s">
        <v>277</v>
      </c>
      <c r="D5" s="11" t="s">
        <v>278</v>
      </c>
    </row>
    <row r="6" customFormat="false" ht="14.25" hidden="false" customHeight="false" outlineLevel="0" collapsed="false">
      <c r="A6" s="11" t="s">
        <v>279</v>
      </c>
      <c r="B6" s="11" t="s">
        <v>280</v>
      </c>
      <c r="C6" s="11" t="s">
        <v>73</v>
      </c>
      <c r="D6" s="11" t="s">
        <v>281</v>
      </c>
    </row>
    <row r="7" customFormat="false" ht="14.25" hidden="false" customHeight="false" outlineLevel="0" collapsed="false">
      <c r="A7" s="11" t="s">
        <v>282</v>
      </c>
      <c r="B7" s="11" t="s">
        <v>283</v>
      </c>
      <c r="C7" s="11" t="s">
        <v>284</v>
      </c>
      <c r="D7" s="11" t="s">
        <v>285</v>
      </c>
    </row>
    <row r="8" customFormat="false" ht="14.25" hidden="false" customHeight="false" outlineLevel="0" collapsed="false">
      <c r="A8" s="11" t="s">
        <v>286</v>
      </c>
      <c r="B8" s="11" t="s">
        <v>287</v>
      </c>
      <c r="C8" s="11" t="s">
        <v>288</v>
      </c>
      <c r="D8" s="11" t="s">
        <v>289</v>
      </c>
    </row>
    <row r="9" customFormat="false" ht="14.25" hidden="false" customHeight="false" outlineLevel="0" collapsed="false">
      <c r="A9" s="11" t="s">
        <v>290</v>
      </c>
      <c r="B9" s="11" t="s">
        <v>291</v>
      </c>
      <c r="C9" s="11" t="s">
        <v>292</v>
      </c>
      <c r="D9" s="11" t="s">
        <v>293</v>
      </c>
    </row>
    <row r="11" customFormat="false" ht="14.25" hidden="false" customHeight="false" outlineLevel="0" collapsed="false">
      <c r="A11" s="2" t="s">
        <v>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52"/>
  </cols>
  <sheetData>
    <row r="1" customFormat="false" ht="26.25" hidden="false" customHeight="true" outlineLevel="0" collapsed="false">
      <c r="A1" s="10" t="s">
        <v>250</v>
      </c>
      <c r="B1" s="10" t="s">
        <v>295</v>
      </c>
      <c r="C1" s="10" t="s">
        <v>296</v>
      </c>
      <c r="D1" s="10" t="s">
        <v>66</v>
      </c>
    </row>
    <row r="2" customFormat="false" ht="26.25" hidden="false" customHeight="true" outlineLevel="0" collapsed="false">
      <c r="A2" s="11" t="s">
        <v>297</v>
      </c>
      <c r="B2" s="17" t="n">
        <f aca="false">Regras!B5+2</f>
        <v>52</v>
      </c>
      <c r="C2" s="11" t="s">
        <v>298</v>
      </c>
      <c r="D2" s="11" t="s">
        <v>299</v>
      </c>
    </row>
    <row r="3" customFormat="false" ht="14.25" hidden="false" customHeight="false" outlineLevel="0" collapsed="false">
      <c r="A3" s="11" t="s">
        <v>300</v>
      </c>
      <c r="B3" s="17" t="n">
        <f aca="false">Regras!B5+3</f>
        <v>53</v>
      </c>
      <c r="C3" s="11" t="s">
        <v>301</v>
      </c>
      <c r="D3" s="11" t="s">
        <v>302</v>
      </c>
    </row>
    <row r="4" customFormat="false" ht="14.25" hidden="false" customHeight="false" outlineLevel="0" collapsed="false">
      <c r="A4" s="11" t="s">
        <v>303</v>
      </c>
      <c r="B4" s="17" t="n">
        <f aca="false">Regras!B5+4</f>
        <v>54</v>
      </c>
      <c r="C4" s="11" t="s">
        <v>304</v>
      </c>
      <c r="D4" s="11" t="s">
        <v>305</v>
      </c>
    </row>
    <row r="5" customFormat="false" ht="26.25" hidden="false" customHeight="true" outlineLevel="0" collapsed="false">
      <c r="A5" s="11" t="s">
        <v>306</v>
      </c>
      <c r="B5" s="17" t="n">
        <f aca="false">Bancos!E2</f>
        <v>150</v>
      </c>
      <c r="C5" s="11" t="s">
        <v>307</v>
      </c>
      <c r="D5" s="11" t="s">
        <v>308</v>
      </c>
    </row>
    <row r="6" customFormat="false" ht="14.25" hidden="false" customHeight="false" outlineLevel="0" collapsed="false">
      <c r="A6" s="11" t="s">
        <v>309</v>
      </c>
      <c r="B6" s="17" t="n">
        <f aca="false">Regras!B11</f>
        <v>100</v>
      </c>
      <c r="C6" s="11" t="s">
        <v>105</v>
      </c>
      <c r="D6" s="11" t="s">
        <v>310</v>
      </c>
    </row>
    <row r="7" customFormat="false" ht="14.25" hidden="false" customHeight="false" outlineLevel="0" collapsed="false">
      <c r="A7" s="11" t="s">
        <v>311</v>
      </c>
      <c r="B7" s="17" t="n">
        <f aca="false">Bancos!G2</f>
        <v>154</v>
      </c>
      <c r="C7" s="11" t="s">
        <v>312</v>
      </c>
      <c r="D7" s="11" t="s">
        <v>313</v>
      </c>
    </row>
    <row r="8" customFormat="false" ht="14.25" hidden="false" customHeight="false" outlineLevel="0" collapsed="false">
      <c r="A8" s="11" t="s">
        <v>314</v>
      </c>
      <c r="B8" s="17" t="n">
        <f aca="false">Bancos!G3</f>
        <v>162</v>
      </c>
      <c r="C8" s="11" t="s">
        <v>315</v>
      </c>
      <c r="D8" s="11" t="s">
        <v>313</v>
      </c>
    </row>
    <row r="9" customFormat="false" ht="14.25" hidden="false" customHeight="false" outlineLevel="0" collapsed="false">
      <c r="A9" s="11" t="s">
        <v>316</v>
      </c>
      <c r="B9" s="17"/>
      <c r="C9" s="11" t="s">
        <v>116</v>
      </c>
      <c r="D9" s="11" t="s">
        <v>313</v>
      </c>
    </row>
    <row r="10" customFormat="false" ht="14.25" hidden="false" customHeight="false" outlineLevel="0" collapsed="false">
      <c r="A10" s="11"/>
      <c r="B10" s="17"/>
      <c r="C10" s="11"/>
      <c r="D10" s="11"/>
    </row>
    <row r="11" customFormat="false" ht="14.25" hidden="false" customHeight="false" outlineLevel="0" collapsed="false">
      <c r="A11" s="11"/>
      <c r="B11" s="17"/>
      <c r="C11" s="11"/>
      <c r="D11" s="11"/>
    </row>
    <row r="12" customFormat="false" ht="14.25" hidden="false" customHeight="false" outlineLevel="0" collapsed="false">
      <c r="A12" s="11"/>
      <c r="B12" s="17"/>
      <c r="C12" s="11"/>
      <c r="D12" s="11"/>
    </row>
    <row r="13" customFormat="false" ht="14.25" hidden="false" customHeight="false" outlineLevel="0" collapsed="false">
      <c r="A13" s="18"/>
      <c r="B13" s="19"/>
      <c r="C13" s="18"/>
      <c r="D13" s="18"/>
    </row>
    <row r="15" customFormat="false" ht="14.25" hidden="false" customHeight="false" outlineLevel="0" collapsed="false">
      <c r="A15" s="2" t="s">
        <v>317</v>
      </c>
    </row>
    <row r="16" customFormat="false" ht="14.25" hidden="false" customHeight="false" outlineLevel="0" collapsed="false">
      <c r="A16" s="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34"/>
  </cols>
  <sheetData>
    <row r="1" customFormat="false" ht="14.25" hidden="false" customHeight="false" outlineLevel="0" collapsed="false">
      <c r="A1" s="10" t="s">
        <v>319</v>
      </c>
      <c r="B1" s="10" t="s">
        <v>320</v>
      </c>
    </row>
    <row r="2" customFormat="false" ht="14.25" hidden="false" customHeight="false" outlineLevel="0" collapsed="false">
      <c r="A2" s="11" t="s">
        <v>321</v>
      </c>
      <c r="B2" s="11" t="s">
        <v>322</v>
      </c>
    </row>
    <row r="3" customFormat="false" ht="14.25" hidden="false" customHeight="false" outlineLevel="0" collapsed="false">
      <c r="A3" s="11" t="s">
        <v>323</v>
      </c>
      <c r="B3" s="11" t="s">
        <v>324</v>
      </c>
    </row>
    <row r="4" customFormat="false" ht="14.25" hidden="false" customHeight="false" outlineLevel="0" collapsed="false">
      <c r="A4" s="11" t="s">
        <v>325</v>
      </c>
      <c r="B4" s="11" t="s">
        <v>326</v>
      </c>
    </row>
    <row r="5" customFormat="false" ht="14.25" hidden="false" customHeight="false" outlineLevel="0" collapsed="false">
      <c r="A5" s="11" t="s">
        <v>327</v>
      </c>
      <c r="B5" s="11" t="s">
        <v>328</v>
      </c>
    </row>
    <row r="6" customFormat="false" ht="14.25" hidden="false" customHeight="false" outlineLevel="0" collapsed="false">
      <c r="A6" s="11" t="s">
        <v>205</v>
      </c>
      <c r="B6" s="11" t="s">
        <v>329</v>
      </c>
    </row>
    <row r="7" customFormat="false" ht="14.25" hidden="false" customHeight="false" outlineLevel="0" collapsed="false">
      <c r="A7" s="11" t="s">
        <v>330</v>
      </c>
      <c r="B7" s="11" t="s">
        <v>331</v>
      </c>
    </row>
    <row r="9" customFormat="false" ht="14.25" hidden="false" customHeight="false" outlineLevel="0" collapsed="false">
      <c r="A9" s="2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40"/>
  </cols>
  <sheetData>
    <row r="1" customFormat="false" ht="14.25" hidden="false" customHeight="false" outlineLevel="0" collapsed="false">
      <c r="A1" s="10" t="s">
        <v>319</v>
      </c>
      <c r="B1" s="10" t="s">
        <v>216</v>
      </c>
    </row>
    <row r="2" customFormat="false" ht="14.25" hidden="false" customHeight="false" outlineLevel="0" collapsed="false">
      <c r="A2" s="11" t="s">
        <v>333</v>
      </c>
      <c r="B2" s="11" t="s">
        <v>236</v>
      </c>
    </row>
    <row r="3" customFormat="false" ht="14.25" hidden="false" customHeight="false" outlineLevel="0" collapsed="false">
      <c r="A3" s="11" t="s">
        <v>334</v>
      </c>
      <c r="B3" s="11" t="s">
        <v>236</v>
      </c>
    </row>
    <row r="4" customFormat="false" ht="14.25" hidden="false" customHeight="false" outlineLevel="0" collapsed="false">
      <c r="A4" s="11" t="s">
        <v>335</v>
      </c>
      <c r="B4" s="11" t="s">
        <v>336</v>
      </c>
    </row>
    <row r="5" customFormat="false" ht="14.25" hidden="false" customHeight="false" outlineLevel="0" collapsed="false">
      <c r="A5" s="11" t="s">
        <v>337</v>
      </c>
      <c r="B5" s="11" t="s">
        <v>338</v>
      </c>
    </row>
    <row r="6" customFormat="false" ht="14.25" hidden="false" customHeight="false" outlineLevel="0" collapsed="false">
      <c r="A6" s="11" t="s">
        <v>339</v>
      </c>
      <c r="B6" s="11" t="s">
        <v>340</v>
      </c>
    </row>
    <row r="7" customFormat="false" ht="14.25" hidden="false" customHeight="false" outlineLevel="0" collapsed="false">
      <c r="A7" s="11" t="s">
        <v>341</v>
      </c>
      <c r="B7" s="11" t="s">
        <v>342</v>
      </c>
    </row>
    <row r="8" customFormat="false" ht="23.85" hidden="false" customHeight="false" outlineLevel="0" collapsed="false">
      <c r="A8" s="11" t="s">
        <v>343</v>
      </c>
      <c r="B8" s="11" t="s">
        <v>344</v>
      </c>
    </row>
    <row r="9" customFormat="false" ht="35.05" hidden="false" customHeight="false" outlineLevel="0" collapsed="false">
      <c r="A9" s="11" t="s">
        <v>345</v>
      </c>
      <c r="B9" s="11" t="s">
        <v>346</v>
      </c>
    </row>
    <row r="10" customFormat="false" ht="14.25" hidden="false" customHeight="false" outlineLevel="0" collapsed="false">
      <c r="A10" s="11" t="s">
        <v>347</v>
      </c>
      <c r="B10" s="11" t="s">
        <v>87</v>
      </c>
    </row>
    <row r="11" customFormat="false" ht="35.05" hidden="false" customHeight="false" outlineLevel="0" collapsed="false">
      <c r="A11" s="11" t="s">
        <v>348</v>
      </c>
      <c r="B11" s="11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2026-10-20T17:07:24Z</dcterms:created>
  <dc:creator>openpyxl</dc:creator>
  <dc:description/>
  <dc:language>en-US</dc:language>
  <cp:lastModifiedBy>Reginaldo Alexandre Ferreira</cp:lastModifiedBy>
  <dcterms:modified xsi:type="dcterms:W3CDTF">2026-10-23T01:41:22Z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